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46192</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27954-2025</t>
        </is>
      </c>
      <c r="B3" s="1" t="n">
        <v>45814</v>
      </c>
      <c r="C3" s="1" t="n">
        <v>46192</v>
      </c>
      <c r="D3" t="inlineStr">
        <is>
          <t>SÖDERMANLANDS LÄN</t>
        </is>
      </c>
      <c r="E3" t="inlineStr">
        <is>
          <t>KATRINEHOLM</t>
        </is>
      </c>
      <c r="F3" t="inlineStr">
        <is>
          <t>Allmännings- och besparingsskogar</t>
        </is>
      </c>
      <c r="G3" t="n">
        <v>16.5</v>
      </c>
      <c r="H3" t="n">
        <v>5</v>
      </c>
      <c r="I3" t="n">
        <v>4</v>
      </c>
      <c r="J3" t="n">
        <v>9</v>
      </c>
      <c r="K3" t="n">
        <v>1</v>
      </c>
      <c r="L3" t="n">
        <v>0</v>
      </c>
      <c r="M3" t="n">
        <v>0</v>
      </c>
      <c r="N3" t="n">
        <v>0</v>
      </c>
      <c r="O3" t="n">
        <v>10</v>
      </c>
      <c r="P3" t="n">
        <v>1</v>
      </c>
      <c r="Q3" t="n">
        <v>17</v>
      </c>
      <c r="R3" s="2" t="inlineStr">
        <is>
          <t>Gul taggsvamp
Dofttaggsvamp
Dropptaggsvamp
Gropticka
Järnsparv
Motaggsvamp
Orange taggsvamp
Skarp dropptaggsvamp
Svartvit taggsvamp
Talltita
Grovticka
Grönpyrola
Rödgul trumpetsvamp
Zontaggsvamp
Spillkråka
Fläcknycklar
Revlummer</t>
        </is>
      </c>
      <c r="S3">
        <f>HYPERLINK("https://klasma.github.io/Logging_0483/artfynd/A 27954-2025 artfynd.xlsx", "A 27954-2025")</f>
        <v/>
      </c>
      <c r="T3">
        <f>HYPERLINK("https://klasma.github.io/Logging_0483/kartor/A 27954-2025 karta.png", "A 27954-2025")</f>
        <v/>
      </c>
      <c r="V3">
        <f>HYPERLINK("https://klasma.github.io/Logging_0483/klagomål/A 27954-2025 FSC-klagomål.docx", "A 27954-2025")</f>
        <v/>
      </c>
      <c r="W3">
        <f>HYPERLINK("https://klasma.github.io/Logging_0483/klagomålsmail/A 27954-2025 FSC-klagomål mail.docx", "A 27954-2025")</f>
        <v/>
      </c>
      <c r="X3">
        <f>HYPERLINK("https://klasma.github.io/Logging_0483/tillsyn/A 27954-2025 tillsynsbegäran.docx", "A 27954-2025")</f>
        <v/>
      </c>
      <c r="Y3">
        <f>HYPERLINK("https://klasma.github.io/Logging_0483/tillsynsmail/A 27954-2025 tillsynsbegäran mail.docx", "A 27954-2025")</f>
        <v/>
      </c>
      <c r="Z3">
        <f>HYPERLINK("https://klasma.github.io/Logging_0483/fåglar/A 27954-2025 prioriterade fågelarter.docx", "A 27954-2025")</f>
        <v/>
      </c>
    </row>
    <row r="4" ht="15" customHeight="1">
      <c r="A4" t="inlineStr">
        <is>
          <t>A 39091-2022</t>
        </is>
      </c>
      <c r="B4" s="1" t="n">
        <v>44817</v>
      </c>
      <c r="C4" s="1" t="n">
        <v>46192</v>
      </c>
      <c r="D4" t="inlineStr">
        <is>
          <t>SÖDERMANLANDS LÄN</t>
        </is>
      </c>
      <c r="E4" t="inlineStr">
        <is>
          <t>KATRINEHOLM</t>
        </is>
      </c>
      <c r="F4" t="inlineStr">
        <is>
          <t>Övriga Aktiebolag</t>
        </is>
      </c>
      <c r="G4" t="n">
        <v>3.6</v>
      </c>
      <c r="H4" t="n">
        <v>4</v>
      </c>
      <c r="I4" t="n">
        <v>4</v>
      </c>
      <c r="J4" t="n">
        <v>3</v>
      </c>
      <c r="K4" t="n">
        <v>0</v>
      </c>
      <c r="L4" t="n">
        <v>2</v>
      </c>
      <c r="M4" t="n">
        <v>0</v>
      </c>
      <c r="N4" t="n">
        <v>0</v>
      </c>
      <c r="O4" t="n">
        <v>5</v>
      </c>
      <c r="P4" t="n">
        <v>2</v>
      </c>
      <c r="Q4" t="n">
        <v>13</v>
      </c>
      <c r="R4" s="2" t="inlineStr">
        <is>
          <t>Ask
Skogsalm
Fjällig taggsvamp s.str.
Flattoppad klubbsvamp
Svartvit taggsvamp
Granbarkgnagare
Grov baronmossa
Platt fjädermossa
Svart trolldruva
Blåsippa
Kråka
Kungsfågel
Gullviva</t>
        </is>
      </c>
      <c r="S4">
        <f>HYPERLINK("https://klasma.github.io/Logging_0483/artfynd/A 39091-2022 artfynd.xlsx", "A 39091-2022")</f>
        <v/>
      </c>
      <c r="T4">
        <f>HYPERLINK("https://klasma.github.io/Logging_0483/kartor/A 39091-2022 karta.png", "A 39091-2022")</f>
        <v/>
      </c>
      <c r="V4">
        <f>HYPERLINK("https://klasma.github.io/Logging_0483/klagomål/A 39091-2022 FSC-klagomål.docx", "A 39091-2022")</f>
        <v/>
      </c>
      <c r="W4">
        <f>HYPERLINK("https://klasma.github.io/Logging_0483/klagomålsmail/A 39091-2022 FSC-klagomål mail.docx", "A 39091-2022")</f>
        <v/>
      </c>
      <c r="X4">
        <f>HYPERLINK("https://klasma.github.io/Logging_0483/tillsyn/A 39091-2022 tillsynsbegäran.docx", "A 39091-2022")</f>
        <v/>
      </c>
      <c r="Y4">
        <f>HYPERLINK("https://klasma.github.io/Logging_0483/tillsynsmail/A 39091-2022 tillsynsbegäran mail.docx", "A 39091-2022")</f>
        <v/>
      </c>
      <c r="Z4">
        <f>HYPERLINK("https://klasma.github.io/Logging_0483/fåglar/A 39091-2022 prioriterade fågelarter.docx", "A 39091-2022")</f>
        <v/>
      </c>
    </row>
    <row r="5" ht="15" customHeight="1">
      <c r="A5" t="inlineStr">
        <is>
          <t>A 44206-2021</t>
        </is>
      </c>
      <c r="B5" s="1" t="n">
        <v>44434</v>
      </c>
      <c r="C5" s="1" t="n">
        <v>46192</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46192</v>
      </c>
      <c r="D6" t="inlineStr">
        <is>
          <t>SÖDERMANLANDS LÄN</t>
        </is>
      </c>
      <c r="E6" t="inlineStr">
        <is>
          <t>KATRINEHOLM</t>
        </is>
      </c>
      <c r="F6" t="inlineStr">
        <is>
          <t>Kommuner</t>
        </is>
      </c>
      <c r="G6" t="n">
        <v>5.1</v>
      </c>
      <c r="H6" t="n">
        <v>6</v>
      </c>
      <c r="I6" t="n">
        <v>4</v>
      </c>
      <c r="J6" t="n">
        <v>3</v>
      </c>
      <c r="K6" t="n">
        <v>1</v>
      </c>
      <c r="L6" t="n">
        <v>1</v>
      </c>
      <c r="M6" t="n">
        <v>0</v>
      </c>
      <c r="N6" t="n">
        <v>0</v>
      </c>
      <c r="O6" t="n">
        <v>5</v>
      </c>
      <c r="P6" t="n">
        <v>2</v>
      </c>
      <c r="Q6" t="n">
        <v>11</v>
      </c>
      <c r="R6" s="2" t="inlineStr">
        <is>
          <t>Bombmurkla
Knärot
Fjällig taggsvamp s.str.
Mindre hackspett
Rosentrattskivling
Blåmossa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50018-2023</t>
        </is>
      </c>
      <c r="B7" s="1" t="n">
        <v>45215</v>
      </c>
      <c r="C7" s="1" t="n">
        <v>46192</v>
      </c>
      <c r="D7" t="inlineStr">
        <is>
          <t>SÖDERMANLANDS LÄN</t>
        </is>
      </c>
      <c r="E7" t="inlineStr">
        <is>
          <t>KATRINEHOLM</t>
        </is>
      </c>
      <c r="G7" t="n">
        <v>2.4</v>
      </c>
      <c r="H7" t="n">
        <v>1</v>
      </c>
      <c r="I7" t="n">
        <v>4</v>
      </c>
      <c r="J7" t="n">
        <v>4</v>
      </c>
      <c r="K7" t="n">
        <v>0</v>
      </c>
      <c r="L7" t="n">
        <v>0</v>
      </c>
      <c r="M7" t="n">
        <v>0</v>
      </c>
      <c r="N7" t="n">
        <v>0</v>
      </c>
      <c r="O7" t="n">
        <v>4</v>
      </c>
      <c r="P7" t="n">
        <v>0</v>
      </c>
      <c r="Q7" t="n">
        <v>9</v>
      </c>
      <c r="R7" s="2" t="inlineStr">
        <is>
          <t>Jungfrulin
Scharlakansvaxing
Svinrot
Vanlig backsmörblomma
Aprikosfingersvamp
Blodvaxing
Honungsvaxing
Vitvaxing agg.
Nattviol</t>
        </is>
      </c>
      <c r="S7">
        <f>HYPERLINK("https://klasma.github.io/Logging_0483/artfynd/A 50018-2023 artfynd.xlsx", "A 50018-2023")</f>
        <v/>
      </c>
      <c r="T7">
        <f>HYPERLINK("https://klasma.github.io/Logging_0483/kartor/A 50018-2023 karta.png", "A 50018-2023")</f>
        <v/>
      </c>
      <c r="V7">
        <f>HYPERLINK("https://klasma.github.io/Logging_0483/klagomål/A 50018-2023 FSC-klagomål.docx", "A 50018-2023")</f>
        <v/>
      </c>
      <c r="W7">
        <f>HYPERLINK("https://klasma.github.io/Logging_0483/klagomålsmail/A 50018-2023 FSC-klagomål mail.docx", "A 50018-2023")</f>
        <v/>
      </c>
      <c r="X7">
        <f>HYPERLINK("https://klasma.github.io/Logging_0483/tillsyn/A 50018-2023 tillsynsbegäran.docx", "A 50018-2023")</f>
        <v/>
      </c>
      <c r="Y7">
        <f>HYPERLINK("https://klasma.github.io/Logging_0483/tillsynsmail/A 50018-2023 tillsynsbegäran mail.docx", "A 50018-2023")</f>
        <v/>
      </c>
    </row>
    <row r="8" ht="15" customHeight="1">
      <c r="A8" t="inlineStr">
        <is>
          <t>A 24362-2026</t>
        </is>
      </c>
      <c r="B8" s="1" t="n">
        <v>46169</v>
      </c>
      <c r="C8" s="1" t="n">
        <v>46192</v>
      </c>
      <c r="D8" t="inlineStr">
        <is>
          <t>SÖDERMANLANDS LÄN</t>
        </is>
      </c>
      <c r="E8" t="inlineStr">
        <is>
          <t>KATRINEHOLM</t>
        </is>
      </c>
      <c r="G8" t="n">
        <v>13.5</v>
      </c>
      <c r="H8" t="n">
        <v>1</v>
      </c>
      <c r="I8" t="n">
        <v>1</v>
      </c>
      <c r="J8" t="n">
        <v>0</v>
      </c>
      <c r="K8" t="n">
        <v>0</v>
      </c>
      <c r="L8" t="n">
        <v>0</v>
      </c>
      <c r="M8" t="n">
        <v>0</v>
      </c>
      <c r="N8" t="n">
        <v>0</v>
      </c>
      <c r="O8" t="n">
        <v>0</v>
      </c>
      <c r="P8" t="n">
        <v>0</v>
      </c>
      <c r="Q8" t="n">
        <v>9</v>
      </c>
      <c r="R8" s="2" t="inlineStr">
        <is>
          <t>Blåmossa
Blåbär
Hultbräken
Kärrviol
Linnea
Majbräken
Skogsstjärna
Ängskovall
Revlummer</t>
        </is>
      </c>
      <c r="S8">
        <f>HYPERLINK("https://klasma.github.io/Logging_0483/artfynd/A 24362-2026 artfynd.xlsx", "A 24362-2026")</f>
        <v/>
      </c>
      <c r="T8">
        <f>HYPERLINK("https://klasma.github.io/Logging_0483/kartor/A 24362-2026 karta.png", "A 24362-2026")</f>
        <v/>
      </c>
      <c r="V8">
        <f>HYPERLINK("https://klasma.github.io/Logging_0483/klagomål/A 24362-2026 FSC-klagomål.docx", "A 24362-2026")</f>
        <v/>
      </c>
      <c r="W8">
        <f>HYPERLINK("https://klasma.github.io/Logging_0483/klagomålsmail/A 24362-2026 FSC-klagomål mail.docx", "A 24362-2026")</f>
        <v/>
      </c>
      <c r="X8">
        <f>HYPERLINK("https://klasma.github.io/Logging_0483/tillsyn/A 24362-2026 tillsynsbegäran.docx", "A 24362-2026")</f>
        <v/>
      </c>
      <c r="Y8">
        <f>HYPERLINK("https://klasma.github.io/Logging_0483/tillsynsmail/A 24362-2026 tillsynsbegäran mail.docx", "A 24362-2026")</f>
        <v/>
      </c>
    </row>
    <row r="9" ht="15" customHeight="1">
      <c r="A9" t="inlineStr">
        <is>
          <t>A 54002-2022</t>
        </is>
      </c>
      <c r="B9" s="1" t="n">
        <v>44876</v>
      </c>
      <c r="C9" s="1" t="n">
        <v>46192</v>
      </c>
      <c r="D9" t="inlineStr">
        <is>
          <t>SÖDERMANLANDS LÄN</t>
        </is>
      </c>
      <c r="E9" t="inlineStr">
        <is>
          <t>KATRINEHOLM</t>
        </is>
      </c>
      <c r="G9" t="n">
        <v>18</v>
      </c>
      <c r="H9" t="n">
        <v>3</v>
      </c>
      <c r="I9" t="n">
        <v>4</v>
      </c>
      <c r="J9" t="n">
        <v>0</v>
      </c>
      <c r="K9" t="n">
        <v>0</v>
      </c>
      <c r="L9" t="n">
        <v>1</v>
      </c>
      <c r="M9" t="n">
        <v>0</v>
      </c>
      <c r="N9" t="n">
        <v>0</v>
      </c>
      <c r="O9" t="n">
        <v>1</v>
      </c>
      <c r="P9" t="n">
        <v>1</v>
      </c>
      <c r="Q9" t="n">
        <v>8</v>
      </c>
      <c r="R9" s="2" t="inlineStr">
        <is>
          <t>Skogsalm
Björksplintborre
Fällmossa
Hasselticka
Stekelbock
Blåsippa
Åkergroda
Vanlig padda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20533-2023</t>
        </is>
      </c>
      <c r="B10" s="1" t="n">
        <v>45057</v>
      </c>
      <c r="C10" s="1" t="n">
        <v>46192</v>
      </c>
      <c r="D10" t="inlineStr">
        <is>
          <t>SÖDERMANLANDS LÄN</t>
        </is>
      </c>
      <c r="E10" t="inlineStr">
        <is>
          <t>KATRINEHOLM</t>
        </is>
      </c>
      <c r="G10" t="n">
        <v>20.2</v>
      </c>
      <c r="H10" t="n">
        <v>3</v>
      </c>
      <c r="I10" t="n">
        <v>3</v>
      </c>
      <c r="J10" t="n">
        <v>2</v>
      </c>
      <c r="K10" t="n">
        <v>1</v>
      </c>
      <c r="L10" t="n">
        <v>0</v>
      </c>
      <c r="M10" t="n">
        <v>0</v>
      </c>
      <c r="N10" t="n">
        <v>0</v>
      </c>
      <c r="O10" t="n">
        <v>3</v>
      </c>
      <c r="P10" t="n">
        <v>1</v>
      </c>
      <c r="Q10" t="n">
        <v>8</v>
      </c>
      <c r="R10" s="2" t="inlineStr">
        <is>
          <t>Mulmknäppare
Mindre hackspett
Svinrot
Noshornsoxe
Svart trolldruva
Tibast
Spillkråka
Nattviol</t>
        </is>
      </c>
      <c r="S10">
        <f>HYPERLINK("https://klasma.github.io/Logging_0483/artfynd/A 20533-2023 artfynd.xlsx", "A 20533-2023")</f>
        <v/>
      </c>
      <c r="T10">
        <f>HYPERLINK("https://klasma.github.io/Logging_0483/kartor/A 20533-2023 karta.png", "A 20533-2023")</f>
        <v/>
      </c>
      <c r="V10">
        <f>HYPERLINK("https://klasma.github.io/Logging_0483/klagomål/A 20533-2023 FSC-klagomål.docx", "A 20533-2023")</f>
        <v/>
      </c>
      <c r="W10">
        <f>HYPERLINK("https://klasma.github.io/Logging_0483/klagomålsmail/A 20533-2023 FSC-klagomål mail.docx", "A 20533-2023")</f>
        <v/>
      </c>
      <c r="X10">
        <f>HYPERLINK("https://klasma.github.io/Logging_0483/tillsyn/A 20533-2023 tillsynsbegäran.docx", "A 20533-2023")</f>
        <v/>
      </c>
      <c r="Y10">
        <f>HYPERLINK("https://klasma.github.io/Logging_0483/tillsynsmail/A 20533-2023 tillsynsbegäran mail.docx", "A 20533-2023")</f>
        <v/>
      </c>
      <c r="Z10">
        <f>HYPERLINK("https://klasma.github.io/Logging_0483/fåglar/A 20533-2023 prioriterade fågelarter.docx", "A 20533-2023")</f>
        <v/>
      </c>
    </row>
    <row r="11" ht="15" customHeight="1">
      <c r="A11" t="inlineStr">
        <is>
          <t>A 54614-2021</t>
        </is>
      </c>
      <c r="B11" s="1" t="n">
        <v>44473</v>
      </c>
      <c r="C11" s="1" t="n">
        <v>46192</v>
      </c>
      <c r="D11" t="inlineStr">
        <is>
          <t>SÖDERMANLANDS LÄN</t>
        </is>
      </c>
      <c r="E11" t="inlineStr">
        <is>
          <t>KATRINEHOLM</t>
        </is>
      </c>
      <c r="G11" t="n">
        <v>1.3</v>
      </c>
      <c r="H11" t="n">
        <v>0</v>
      </c>
      <c r="I11" t="n">
        <v>2</v>
      </c>
      <c r="J11" t="n">
        <v>2</v>
      </c>
      <c r="K11" t="n">
        <v>3</v>
      </c>
      <c r="L11" t="n">
        <v>0</v>
      </c>
      <c r="M11" t="n">
        <v>0</v>
      </c>
      <c r="N11" t="n">
        <v>0</v>
      </c>
      <c r="O11" t="n">
        <v>5</v>
      </c>
      <c r="P11" t="n">
        <v>3</v>
      </c>
      <c r="Q11" t="n">
        <v>7</v>
      </c>
      <c r="R11" s="2" t="inlineStr">
        <is>
          <t>Bullspindling
Grangråticka
Kopparspindling
Fjällig taggsvamp s.str.
Persiljespindling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46192</v>
      </c>
      <c r="D12" t="inlineStr">
        <is>
          <t>SÖDERMANLANDS LÄN</t>
        </is>
      </c>
      <c r="E12" t="inlineStr">
        <is>
          <t>KATRINEHOLM</t>
        </is>
      </c>
      <c r="G12" t="n">
        <v>1.3</v>
      </c>
      <c r="H12" t="n">
        <v>0</v>
      </c>
      <c r="I12" t="n">
        <v>2</v>
      </c>
      <c r="J12" t="n">
        <v>2</v>
      </c>
      <c r="K12" t="n">
        <v>3</v>
      </c>
      <c r="L12" t="n">
        <v>0</v>
      </c>
      <c r="M12" t="n">
        <v>0</v>
      </c>
      <c r="N12" t="n">
        <v>0</v>
      </c>
      <c r="O12" t="n">
        <v>5</v>
      </c>
      <c r="P12" t="n">
        <v>3</v>
      </c>
      <c r="Q12" t="n">
        <v>7</v>
      </c>
      <c r="R12" s="2" t="inlineStr">
        <is>
          <t>Bullspindling
Grangråticka
Kopparspindling
Fjällig taggsvamp s.str.
Persiljespindling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46192</v>
      </c>
      <c r="D13" t="inlineStr">
        <is>
          <t>SÖDERMANLANDS LÄN</t>
        </is>
      </c>
      <c r="E13" t="inlineStr">
        <is>
          <t>KATRINEHOLM</t>
        </is>
      </c>
      <c r="G13" t="n">
        <v>20.2</v>
      </c>
      <c r="H13" t="n">
        <v>1</v>
      </c>
      <c r="I13" t="n">
        <v>3</v>
      </c>
      <c r="J13" t="n">
        <v>2</v>
      </c>
      <c r="K13" t="n">
        <v>0</v>
      </c>
      <c r="L13" t="n">
        <v>1</v>
      </c>
      <c r="M13" t="n">
        <v>0</v>
      </c>
      <c r="N13" t="n">
        <v>0</v>
      </c>
      <c r="O13" t="n">
        <v>3</v>
      </c>
      <c r="P13" t="n">
        <v>1</v>
      </c>
      <c r="Q13" t="n">
        <v>7</v>
      </c>
      <c r="R13" s="2" t="inlineStr">
        <is>
          <t>Ask
Gullpudra
Vårärt
Myskmadra
Svart trolldruva
Tibast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46192</v>
      </c>
      <c r="D14" t="inlineStr">
        <is>
          <t>SÖDERMANLANDS LÄN</t>
        </is>
      </c>
      <c r="E14" t="inlineStr">
        <is>
          <t>KATRINEHOLM</t>
        </is>
      </c>
      <c r="F14" t="inlineStr">
        <is>
          <t>Kyrkan</t>
        </is>
      </c>
      <c r="G14" t="n">
        <v>15.2</v>
      </c>
      <c r="H14" t="n">
        <v>6</v>
      </c>
      <c r="I14" t="n">
        <v>0</v>
      </c>
      <c r="J14" t="n">
        <v>4</v>
      </c>
      <c r="K14" t="n">
        <v>0</v>
      </c>
      <c r="L14" t="n">
        <v>0</v>
      </c>
      <c r="M14" t="n">
        <v>0</v>
      </c>
      <c r="N14" t="n">
        <v>0</v>
      </c>
      <c r="O14" t="n">
        <v>4</v>
      </c>
      <c r="P14" t="n">
        <v>0</v>
      </c>
      <c r="Q14" t="n">
        <v>7</v>
      </c>
      <c r="R14" s="2" t="inlineStr">
        <is>
          <t>Gulsparv
Kungsörn
Talltita
Älg
Havsörn
Röd glada
Skogsduva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20533-2023</t>
        </is>
      </c>
      <c r="B15" s="1" t="n">
        <v>45057</v>
      </c>
      <c r="C15" s="1" t="n">
        <v>46192</v>
      </c>
      <c r="D15" t="inlineStr">
        <is>
          <t>SÖDERMANLANDS LÄN</t>
        </is>
      </c>
      <c r="E15" t="inlineStr">
        <is>
          <t>KATRINEHOLM</t>
        </is>
      </c>
      <c r="G15" t="n">
        <v>1.2</v>
      </c>
      <c r="H15" t="n">
        <v>7</v>
      </c>
      <c r="I15" t="n">
        <v>0</v>
      </c>
      <c r="J15" t="n">
        <v>3</v>
      </c>
      <c r="K15" t="n">
        <v>1</v>
      </c>
      <c r="L15" t="n">
        <v>0</v>
      </c>
      <c r="M15" t="n">
        <v>0</v>
      </c>
      <c r="N15" t="n">
        <v>0</v>
      </c>
      <c r="O15" t="n">
        <v>4</v>
      </c>
      <c r="P15" t="n">
        <v>1</v>
      </c>
      <c r="Q15" t="n">
        <v>7</v>
      </c>
      <c r="R15" s="2" t="inlineStr">
        <is>
          <t>Blå kärrhök
Bivråk
Mindre hackspett
Sparvuggla
Fiskgjuse
Havsörn
Röd glada</t>
        </is>
      </c>
      <c r="S15">
        <f>HYPERLINK("https://klasma.github.io/Logging_0483/artfynd/A 20533-2023 artfynd.xlsx", "A 20533-2023")</f>
        <v/>
      </c>
      <c r="T15">
        <f>HYPERLINK("https://klasma.github.io/Logging_0483/kartor/A 20533-2023 karta.png", "A 20533-2023")</f>
        <v/>
      </c>
      <c r="V15">
        <f>HYPERLINK("https://klasma.github.io/Logging_0483/klagomål/A 20533-2023 FSC-klagomål.docx", "A 20533-2023")</f>
        <v/>
      </c>
      <c r="W15">
        <f>HYPERLINK("https://klasma.github.io/Logging_0483/klagomålsmail/A 20533-2023 FSC-klagomål mail.docx", "A 20533-2023")</f>
        <v/>
      </c>
      <c r="X15">
        <f>HYPERLINK("https://klasma.github.io/Logging_0483/tillsyn/A 20533-2023 tillsynsbegäran.docx", "A 20533-2023")</f>
        <v/>
      </c>
      <c r="Y15">
        <f>HYPERLINK("https://klasma.github.io/Logging_0483/tillsynsmail/A 20533-2023 tillsynsbegäran mail.docx", "A 20533-2023")</f>
        <v/>
      </c>
      <c r="Z15">
        <f>HYPERLINK("https://klasma.github.io/Logging_0483/fåglar/A 20533-2023 prioriterade fågelarter.docx", "A 20533-2023")</f>
        <v/>
      </c>
    </row>
    <row r="16" ht="15" customHeight="1">
      <c r="A16" t="inlineStr">
        <is>
          <t>A 35137-2025</t>
        </is>
      </c>
      <c r="B16" s="1" t="n">
        <v>45852</v>
      </c>
      <c r="C16" s="1" t="n">
        <v>46192</v>
      </c>
      <c r="D16" t="inlineStr">
        <is>
          <t>SÖDERMANLANDS LÄN</t>
        </is>
      </c>
      <c r="E16" t="inlineStr">
        <is>
          <t>KATRINEHOLM</t>
        </is>
      </c>
      <c r="G16" t="n">
        <v>5.6</v>
      </c>
      <c r="H16" t="n">
        <v>1</v>
      </c>
      <c r="I16" t="n">
        <v>4</v>
      </c>
      <c r="J16" t="n">
        <v>1</v>
      </c>
      <c r="K16" t="n">
        <v>0</v>
      </c>
      <c r="L16" t="n">
        <v>1</v>
      </c>
      <c r="M16" t="n">
        <v>0</v>
      </c>
      <c r="N16" t="n">
        <v>0</v>
      </c>
      <c r="O16" t="n">
        <v>2</v>
      </c>
      <c r="P16" t="n">
        <v>1</v>
      </c>
      <c r="Q16" t="n">
        <v>7</v>
      </c>
      <c r="R16" s="2" t="inlineStr">
        <is>
          <t>Ask
Vippärt
Svart trolldruva
Tibast
Underviol
Vätteros
Blåsippa</t>
        </is>
      </c>
      <c r="S16">
        <f>HYPERLINK("https://klasma.github.io/Logging_0483/artfynd/A 35137-2025 artfynd.xlsx", "A 35137-2025")</f>
        <v/>
      </c>
      <c r="T16">
        <f>HYPERLINK("https://klasma.github.io/Logging_0483/kartor/A 35137-2025 karta.png", "A 35137-2025")</f>
        <v/>
      </c>
      <c r="V16">
        <f>HYPERLINK("https://klasma.github.io/Logging_0483/klagomål/A 35137-2025 FSC-klagomål.docx", "A 35137-2025")</f>
        <v/>
      </c>
      <c r="W16">
        <f>HYPERLINK("https://klasma.github.io/Logging_0483/klagomålsmail/A 35137-2025 FSC-klagomål mail.docx", "A 35137-2025")</f>
        <v/>
      </c>
      <c r="X16">
        <f>HYPERLINK("https://klasma.github.io/Logging_0483/tillsyn/A 35137-2025 tillsynsbegäran.docx", "A 35137-2025")</f>
        <v/>
      </c>
      <c r="Y16">
        <f>HYPERLINK("https://klasma.github.io/Logging_0483/tillsynsmail/A 35137-2025 tillsynsbegäran mail.docx", "A 35137-2025")</f>
        <v/>
      </c>
    </row>
    <row r="17" ht="15" customHeight="1">
      <c r="A17" t="inlineStr">
        <is>
          <t>A 47886-2023</t>
        </is>
      </c>
      <c r="B17" s="1" t="n">
        <v>45204</v>
      </c>
      <c r="C17" s="1" t="n">
        <v>46192</v>
      </c>
      <c r="D17" t="inlineStr">
        <is>
          <t>SÖDERMANLANDS LÄN</t>
        </is>
      </c>
      <c r="E17" t="inlineStr">
        <is>
          <t>KATRINEHOLM</t>
        </is>
      </c>
      <c r="G17" t="n">
        <v>22</v>
      </c>
      <c r="H17" t="n">
        <v>1</v>
      </c>
      <c r="I17" t="n">
        <v>3</v>
      </c>
      <c r="J17" t="n">
        <v>1</v>
      </c>
      <c r="K17" t="n">
        <v>0</v>
      </c>
      <c r="L17" t="n">
        <v>0</v>
      </c>
      <c r="M17" t="n">
        <v>0</v>
      </c>
      <c r="N17" t="n">
        <v>0</v>
      </c>
      <c r="O17" t="n">
        <v>1</v>
      </c>
      <c r="P17" t="n">
        <v>0</v>
      </c>
      <c r="Q17" t="n">
        <v>5</v>
      </c>
      <c r="R17" s="2" t="inlineStr">
        <is>
          <t>Tallticka
Björksplintborre
Jättesvampmal
Mindre märgborre
Fläcknycklar</t>
        </is>
      </c>
      <c r="S17">
        <f>HYPERLINK("https://klasma.github.io/Logging_0483/artfynd/A 47886-2023 artfynd.xlsx", "A 47886-2023")</f>
        <v/>
      </c>
      <c r="T17">
        <f>HYPERLINK("https://klasma.github.io/Logging_0483/kartor/A 47886-2023 karta.png", "A 47886-2023")</f>
        <v/>
      </c>
      <c r="V17">
        <f>HYPERLINK("https://klasma.github.io/Logging_0483/klagomål/A 47886-2023 FSC-klagomål.docx", "A 47886-2023")</f>
        <v/>
      </c>
      <c r="W17">
        <f>HYPERLINK("https://klasma.github.io/Logging_0483/klagomålsmail/A 47886-2023 FSC-klagomål mail.docx", "A 47886-2023")</f>
        <v/>
      </c>
      <c r="X17">
        <f>HYPERLINK("https://klasma.github.io/Logging_0483/tillsyn/A 47886-2023 tillsynsbegäran.docx", "A 47886-2023")</f>
        <v/>
      </c>
      <c r="Y17">
        <f>HYPERLINK("https://klasma.github.io/Logging_0483/tillsynsmail/A 47886-2023 tillsynsbegäran mail.docx", "A 47886-2023")</f>
        <v/>
      </c>
    </row>
    <row r="18" ht="15" customHeight="1">
      <c r="A18" t="inlineStr">
        <is>
          <t>A 13873-2026</t>
        </is>
      </c>
      <c r="B18" s="1" t="n">
        <v>46098</v>
      </c>
      <c r="C18" s="1" t="n">
        <v>46192</v>
      </c>
      <c r="D18" t="inlineStr">
        <is>
          <t>SÖDERMANLANDS LÄN</t>
        </is>
      </c>
      <c r="E18" t="inlineStr">
        <is>
          <t>KATRINEHOLM</t>
        </is>
      </c>
      <c r="G18" t="n">
        <v>8.199999999999999</v>
      </c>
      <c r="H18" t="n">
        <v>0</v>
      </c>
      <c r="I18" t="n">
        <v>1</v>
      </c>
      <c r="J18" t="n">
        <v>1</v>
      </c>
      <c r="K18" t="n">
        <v>0</v>
      </c>
      <c r="L18" t="n">
        <v>0</v>
      </c>
      <c r="M18" t="n">
        <v>0</v>
      </c>
      <c r="N18" t="n">
        <v>0</v>
      </c>
      <c r="O18" t="n">
        <v>1</v>
      </c>
      <c r="P18" t="n">
        <v>0</v>
      </c>
      <c r="Q18" t="n">
        <v>5</v>
      </c>
      <c r="R18" s="2" t="inlineStr">
        <is>
          <t>Vedskivlav
Blåmossa
Fönsterlav
Grå renlav
Gulvit renlav</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54704-2021</t>
        </is>
      </c>
      <c r="B19" s="1" t="n">
        <v>44473</v>
      </c>
      <c r="C19" s="1" t="n">
        <v>46192</v>
      </c>
      <c r="D19" t="inlineStr">
        <is>
          <t>SÖDERMANLANDS LÄN</t>
        </is>
      </c>
      <c r="E19" t="inlineStr">
        <is>
          <t>KATRINEHOLM</t>
        </is>
      </c>
      <c r="G19" t="n">
        <v>3.5</v>
      </c>
      <c r="H19" t="n">
        <v>1</v>
      </c>
      <c r="I19" t="n">
        <v>0</v>
      </c>
      <c r="J19" t="n">
        <v>3</v>
      </c>
      <c r="K19" t="n">
        <v>1</v>
      </c>
      <c r="L19" t="n">
        <v>0</v>
      </c>
      <c r="M19" t="n">
        <v>0</v>
      </c>
      <c r="N19" t="n">
        <v>0</v>
      </c>
      <c r="O19" t="n">
        <v>4</v>
      </c>
      <c r="P19" t="n">
        <v>1</v>
      </c>
      <c r="Q19" t="n">
        <v>4</v>
      </c>
      <c r="R19" s="2" t="inlineStr">
        <is>
          <t>Knärot
Dropptaggsvamp
Orange taggsvamp
Phellodon aquiloniniger</t>
        </is>
      </c>
      <c r="S19">
        <f>HYPERLINK("https://klasma.github.io/Logging_0483/artfynd/A 54704-2021 artfynd.xlsx", "A 54704-2021")</f>
        <v/>
      </c>
      <c r="T19">
        <f>HYPERLINK("https://klasma.github.io/Logging_0483/kartor/A 54704-2021 karta.png", "A 54704-2021")</f>
        <v/>
      </c>
      <c r="U19">
        <f>HYPERLINK("https://klasma.github.io/Logging_0483/knärot/A 54704-2021 karta knärot.png", "A 54704-2021")</f>
        <v/>
      </c>
      <c r="V19">
        <f>HYPERLINK("https://klasma.github.io/Logging_0483/klagomål/A 54704-2021 FSC-klagomål.docx", "A 54704-2021")</f>
        <v/>
      </c>
      <c r="W19">
        <f>HYPERLINK("https://klasma.github.io/Logging_0483/klagomålsmail/A 54704-2021 FSC-klagomål mail.docx", "A 54704-2021")</f>
        <v/>
      </c>
      <c r="X19">
        <f>HYPERLINK("https://klasma.github.io/Logging_0483/tillsyn/A 54704-2021 tillsynsbegäran.docx", "A 54704-2021")</f>
        <v/>
      </c>
      <c r="Y19">
        <f>HYPERLINK("https://klasma.github.io/Logging_0483/tillsynsmail/A 54704-2021 tillsynsbegäran mail.docx", "A 54704-2021")</f>
        <v/>
      </c>
    </row>
    <row r="20" ht="15" customHeight="1">
      <c r="A20" t="inlineStr">
        <is>
          <t>A 55700-2025</t>
        </is>
      </c>
      <c r="B20" s="1" t="n">
        <v>45972</v>
      </c>
      <c r="C20" s="1" t="n">
        <v>46192</v>
      </c>
      <c r="D20" t="inlineStr">
        <is>
          <t>SÖDERMANLANDS LÄN</t>
        </is>
      </c>
      <c r="E20" t="inlineStr">
        <is>
          <t>KATRINEHOLM</t>
        </is>
      </c>
      <c r="F20" t="inlineStr">
        <is>
          <t>Kyrkan</t>
        </is>
      </c>
      <c r="G20" t="n">
        <v>6</v>
      </c>
      <c r="H20" t="n">
        <v>0</v>
      </c>
      <c r="I20" t="n">
        <v>0</v>
      </c>
      <c r="J20" t="n">
        <v>3</v>
      </c>
      <c r="K20" t="n">
        <v>1</v>
      </c>
      <c r="L20" t="n">
        <v>0</v>
      </c>
      <c r="M20" t="n">
        <v>0</v>
      </c>
      <c r="N20" t="n">
        <v>0</v>
      </c>
      <c r="O20" t="n">
        <v>4</v>
      </c>
      <c r="P20" t="n">
        <v>1</v>
      </c>
      <c r="Q20" t="n">
        <v>4</v>
      </c>
      <c r="R20" s="2" t="inlineStr">
        <is>
          <t>Ljungsnärja
Backklöver
Gullklöver
Svinrot</t>
        </is>
      </c>
      <c r="S20">
        <f>HYPERLINK("https://klasma.github.io/Logging_0483/artfynd/A 55700-2025 artfynd.xlsx", "A 55700-2025")</f>
        <v/>
      </c>
      <c r="T20">
        <f>HYPERLINK("https://klasma.github.io/Logging_0483/kartor/A 55700-2025 karta.png", "A 55700-2025")</f>
        <v/>
      </c>
      <c r="V20">
        <f>HYPERLINK("https://klasma.github.io/Logging_0483/klagomål/A 55700-2025 FSC-klagomål.docx", "A 55700-2025")</f>
        <v/>
      </c>
      <c r="W20">
        <f>HYPERLINK("https://klasma.github.io/Logging_0483/klagomålsmail/A 55700-2025 FSC-klagomål mail.docx", "A 55700-2025")</f>
        <v/>
      </c>
      <c r="X20">
        <f>HYPERLINK("https://klasma.github.io/Logging_0483/tillsyn/A 55700-2025 tillsynsbegäran.docx", "A 55700-2025")</f>
        <v/>
      </c>
      <c r="Y20">
        <f>HYPERLINK("https://klasma.github.io/Logging_0483/tillsynsmail/A 55700-2025 tillsynsbegäran mail.docx", "A 55700-2025")</f>
        <v/>
      </c>
    </row>
    <row r="21" ht="15" customHeight="1">
      <c r="A21" t="inlineStr">
        <is>
          <t>A 70501-2021</t>
        </is>
      </c>
      <c r="B21" s="1" t="n">
        <v>44536</v>
      </c>
      <c r="C21" s="1" t="n">
        <v>46192</v>
      </c>
      <c r="D21" t="inlineStr">
        <is>
          <t>SÖDERMANLANDS LÄN</t>
        </is>
      </c>
      <c r="E21" t="inlineStr">
        <is>
          <t>KATRINEHOLM</t>
        </is>
      </c>
      <c r="G21" t="n">
        <v>5.8</v>
      </c>
      <c r="H21" t="n">
        <v>1</v>
      </c>
      <c r="I21" t="n">
        <v>2</v>
      </c>
      <c r="J21" t="n">
        <v>1</v>
      </c>
      <c r="K21" t="n">
        <v>0</v>
      </c>
      <c r="L21" t="n">
        <v>0</v>
      </c>
      <c r="M21" t="n">
        <v>0</v>
      </c>
      <c r="N21" t="n">
        <v>0</v>
      </c>
      <c r="O21" t="n">
        <v>1</v>
      </c>
      <c r="P21" t="n">
        <v>0</v>
      </c>
      <c r="Q21" t="n">
        <v>4</v>
      </c>
      <c r="R21" s="2" t="inlineStr">
        <is>
          <t>Tallticka
Blomkålssvamp
Grovticka
Nattskärra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c r="Z21">
        <f>HYPERLINK("https://klasma.github.io/Logging_0483/fåglar/A 70501-2021 prioriterade fågelarter.docx", "A 70501-2021")</f>
        <v/>
      </c>
    </row>
    <row r="22" ht="15" customHeight="1">
      <c r="A22" t="inlineStr">
        <is>
          <t>A 188-2025</t>
        </is>
      </c>
      <c r="B22" s="1" t="n">
        <v>45649</v>
      </c>
      <c r="C22" s="1" t="n">
        <v>46192</v>
      </c>
      <c r="D22" t="inlineStr">
        <is>
          <t>SÖDERMANLANDS LÄN</t>
        </is>
      </c>
      <c r="E22" t="inlineStr">
        <is>
          <t>KATRINEHOLM</t>
        </is>
      </c>
      <c r="G22" t="n">
        <v>8.9</v>
      </c>
      <c r="H22" t="n">
        <v>2</v>
      </c>
      <c r="I22" t="n">
        <v>2</v>
      </c>
      <c r="J22" t="n">
        <v>0</v>
      </c>
      <c r="K22" t="n">
        <v>0</v>
      </c>
      <c r="L22" t="n">
        <v>0</v>
      </c>
      <c r="M22" t="n">
        <v>0</v>
      </c>
      <c r="N22" t="n">
        <v>0</v>
      </c>
      <c r="O22" t="n">
        <v>0</v>
      </c>
      <c r="P22" t="n">
        <v>0</v>
      </c>
      <c r="Q22" t="n">
        <v>4</v>
      </c>
      <c r="R22" s="2" t="inlineStr">
        <is>
          <t>Blomkålssvamp
Blåmossa
Blåsippa
Lopplummer (aggregat)</t>
        </is>
      </c>
      <c r="S22">
        <f>HYPERLINK("https://klasma.github.io/Logging_0483/artfynd/A 188-2025 artfynd.xlsx", "A 188-2025")</f>
        <v/>
      </c>
      <c r="T22">
        <f>HYPERLINK("https://klasma.github.io/Logging_0483/kartor/A 188-2025 karta.png", "A 188-2025")</f>
        <v/>
      </c>
      <c r="V22">
        <f>HYPERLINK("https://klasma.github.io/Logging_0483/klagomål/A 188-2025 FSC-klagomål.docx", "A 188-2025")</f>
        <v/>
      </c>
      <c r="W22">
        <f>HYPERLINK("https://klasma.github.io/Logging_0483/klagomålsmail/A 188-2025 FSC-klagomål mail.docx", "A 188-2025")</f>
        <v/>
      </c>
      <c r="X22">
        <f>HYPERLINK("https://klasma.github.io/Logging_0483/tillsyn/A 188-2025 tillsynsbegäran.docx", "A 188-2025")</f>
        <v/>
      </c>
      <c r="Y22">
        <f>HYPERLINK("https://klasma.github.io/Logging_0483/tillsynsmail/A 188-2025 tillsynsbegäran mail.docx", "A 188-2025")</f>
        <v/>
      </c>
    </row>
    <row r="23" ht="15" customHeight="1">
      <c r="A23" t="inlineStr">
        <is>
          <t>A 46524-2025</t>
        </is>
      </c>
      <c r="B23" s="1" t="n">
        <v>45926</v>
      </c>
      <c r="C23" s="1" t="n">
        <v>46192</v>
      </c>
      <c r="D23" t="inlineStr">
        <is>
          <t>SÖDERMANLANDS LÄN</t>
        </is>
      </c>
      <c r="E23" t="inlineStr">
        <is>
          <t>KATRINEHOLM</t>
        </is>
      </c>
      <c r="G23" t="n">
        <v>5.7</v>
      </c>
      <c r="H23" t="n">
        <v>2</v>
      </c>
      <c r="I23" t="n">
        <v>0</v>
      </c>
      <c r="J23" t="n">
        <v>2</v>
      </c>
      <c r="K23" t="n">
        <v>0</v>
      </c>
      <c r="L23" t="n">
        <v>0</v>
      </c>
      <c r="M23" t="n">
        <v>0</v>
      </c>
      <c r="N23" t="n">
        <v>0</v>
      </c>
      <c r="O23" t="n">
        <v>2</v>
      </c>
      <c r="P23" t="n">
        <v>0</v>
      </c>
      <c r="Q23" t="n">
        <v>4</v>
      </c>
      <c r="R23" s="2" t="inlineStr">
        <is>
          <t>Svart skogssnigel
Vitfläckig guldvinge
Grönsiska
Kungsfågel</t>
        </is>
      </c>
      <c r="S23">
        <f>HYPERLINK("https://klasma.github.io/Logging_0483/artfynd/A 46524-2025 artfynd.xlsx", "A 46524-2025")</f>
        <v/>
      </c>
      <c r="T23">
        <f>HYPERLINK("https://klasma.github.io/Logging_0483/kartor/A 46524-2025 karta.png", "A 46524-2025")</f>
        <v/>
      </c>
      <c r="V23">
        <f>HYPERLINK("https://klasma.github.io/Logging_0483/klagomål/A 46524-2025 FSC-klagomål.docx", "A 46524-2025")</f>
        <v/>
      </c>
      <c r="W23">
        <f>HYPERLINK("https://klasma.github.io/Logging_0483/klagomålsmail/A 46524-2025 FSC-klagomål mail.docx", "A 46524-2025")</f>
        <v/>
      </c>
      <c r="X23">
        <f>HYPERLINK("https://klasma.github.io/Logging_0483/tillsyn/A 46524-2025 tillsynsbegäran.docx", "A 46524-2025")</f>
        <v/>
      </c>
      <c r="Y23">
        <f>HYPERLINK("https://klasma.github.io/Logging_0483/tillsynsmail/A 46524-2025 tillsynsbegäran mail.docx", "A 46524-2025")</f>
        <v/>
      </c>
      <c r="Z23">
        <f>HYPERLINK("https://klasma.github.io/Logging_0483/fåglar/A 46524-2025 prioriterade fågelarter.docx", "A 46524-2025")</f>
        <v/>
      </c>
    </row>
    <row r="24" ht="15" customHeight="1">
      <c r="A24" t="inlineStr">
        <is>
          <t>A 8917-2024</t>
        </is>
      </c>
      <c r="B24" s="1" t="n">
        <v>45357</v>
      </c>
      <c r="C24" s="1" t="n">
        <v>46192</v>
      </c>
      <c r="D24" t="inlineStr">
        <is>
          <t>SÖDERMANLANDS LÄN</t>
        </is>
      </c>
      <c r="E24" t="inlineStr">
        <is>
          <t>KATRINEHOLM</t>
        </is>
      </c>
      <c r="G24" t="n">
        <v>3</v>
      </c>
      <c r="H24" t="n">
        <v>3</v>
      </c>
      <c r="I24" t="n">
        <v>0</v>
      </c>
      <c r="J24" t="n">
        <v>1</v>
      </c>
      <c r="K24" t="n">
        <v>1</v>
      </c>
      <c r="L24" t="n">
        <v>0</v>
      </c>
      <c r="M24" t="n">
        <v>0</v>
      </c>
      <c r="N24" t="n">
        <v>0</v>
      </c>
      <c r="O24" t="n">
        <v>2</v>
      </c>
      <c r="P24" t="n">
        <v>1</v>
      </c>
      <c r="Q24" t="n">
        <v>4</v>
      </c>
      <c r="R24" s="2" t="inlineStr">
        <is>
          <t>Stare
Skogsklocka
Blåsippa
Gröngöling</t>
        </is>
      </c>
      <c r="S24">
        <f>HYPERLINK("https://klasma.github.io/Logging_0483/artfynd/A 8917-2024 artfynd.xlsx", "A 8917-2024")</f>
        <v/>
      </c>
      <c r="T24">
        <f>HYPERLINK("https://klasma.github.io/Logging_0483/kartor/A 8917-2024 karta.png", "A 8917-2024")</f>
        <v/>
      </c>
      <c r="V24">
        <f>HYPERLINK("https://klasma.github.io/Logging_0483/klagomål/A 8917-2024 FSC-klagomål.docx", "A 8917-2024")</f>
        <v/>
      </c>
      <c r="W24">
        <f>HYPERLINK("https://klasma.github.io/Logging_0483/klagomålsmail/A 8917-2024 FSC-klagomål mail.docx", "A 8917-2024")</f>
        <v/>
      </c>
      <c r="X24">
        <f>HYPERLINK("https://klasma.github.io/Logging_0483/tillsyn/A 8917-2024 tillsynsbegäran.docx", "A 8917-2024")</f>
        <v/>
      </c>
      <c r="Y24">
        <f>HYPERLINK("https://klasma.github.io/Logging_0483/tillsynsmail/A 8917-2024 tillsynsbegäran mail.docx", "A 8917-2024")</f>
        <v/>
      </c>
      <c r="Z24">
        <f>HYPERLINK("https://klasma.github.io/Logging_0483/fåglar/A 8917-2024 prioriterade fågelarter.docx", "A 8917-2024")</f>
        <v/>
      </c>
    </row>
    <row r="25" ht="15" customHeight="1">
      <c r="A25" t="inlineStr">
        <is>
          <t>A 30229-2023</t>
        </is>
      </c>
      <c r="B25" s="1" t="n">
        <v>45099</v>
      </c>
      <c r="C25" s="1" t="n">
        <v>46192</v>
      </c>
      <c r="D25" t="inlineStr">
        <is>
          <t>SÖDERMANLANDS LÄN</t>
        </is>
      </c>
      <c r="E25" t="inlineStr">
        <is>
          <t>KATRINEHOLM</t>
        </is>
      </c>
      <c r="G25" t="n">
        <v>11.8</v>
      </c>
      <c r="H25" t="n">
        <v>0</v>
      </c>
      <c r="I25" t="n">
        <v>0</v>
      </c>
      <c r="J25" t="n">
        <v>2</v>
      </c>
      <c r="K25" t="n">
        <v>2</v>
      </c>
      <c r="L25" t="n">
        <v>0</v>
      </c>
      <c r="M25" t="n">
        <v>0</v>
      </c>
      <c r="N25" t="n">
        <v>0</v>
      </c>
      <c r="O25" t="n">
        <v>4</v>
      </c>
      <c r="P25" t="n">
        <v>2</v>
      </c>
      <c r="Q25" t="n">
        <v>4</v>
      </c>
      <c r="R25" s="2" t="inlineStr">
        <is>
          <t>Bredbrämad bastardsvärmare
Silverblåvinge
Mindre tåtelsmygare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7585-2023</t>
        </is>
      </c>
      <c r="B26" s="1" t="n">
        <v>44972</v>
      </c>
      <c r="C26" s="1" t="n">
        <v>46192</v>
      </c>
      <c r="D26" t="inlineStr">
        <is>
          <t>SÖDERMANLANDS LÄN</t>
        </is>
      </c>
      <c r="E26" t="inlineStr">
        <is>
          <t>KATRINEHOLM</t>
        </is>
      </c>
      <c r="F26" t="inlineStr">
        <is>
          <t>Kommuner</t>
        </is>
      </c>
      <c r="G26" t="n">
        <v>2.8</v>
      </c>
      <c r="H26" t="n">
        <v>3</v>
      </c>
      <c r="I26" t="n">
        <v>1</v>
      </c>
      <c r="J26" t="n">
        <v>0</v>
      </c>
      <c r="K26" t="n">
        <v>1</v>
      </c>
      <c r="L26" t="n">
        <v>0</v>
      </c>
      <c r="M26" t="n">
        <v>0</v>
      </c>
      <c r="N26" t="n">
        <v>0</v>
      </c>
      <c r="O26" t="n">
        <v>1</v>
      </c>
      <c r="P26" t="n">
        <v>1</v>
      </c>
      <c r="Q26" t="n">
        <v>4</v>
      </c>
      <c r="R26" s="2" t="inlineStr">
        <is>
          <t>Grönfink
Fällmossa
Blåsippa
Grönsiska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44632-2023</t>
        </is>
      </c>
      <c r="B27" s="1" t="n">
        <v>45184</v>
      </c>
      <c r="C27" s="1" t="n">
        <v>46192</v>
      </c>
      <c r="D27" t="inlineStr">
        <is>
          <t>SÖDERMANLANDS LÄN</t>
        </is>
      </c>
      <c r="E27" t="inlineStr">
        <is>
          <t>KATRINEHOLM</t>
        </is>
      </c>
      <c r="G27" t="n">
        <v>6.2</v>
      </c>
      <c r="H27" t="n">
        <v>0</v>
      </c>
      <c r="I27" t="n">
        <v>1</v>
      </c>
      <c r="J27" t="n">
        <v>2</v>
      </c>
      <c r="K27" t="n">
        <v>0</v>
      </c>
      <c r="L27" t="n">
        <v>0</v>
      </c>
      <c r="M27" t="n">
        <v>0</v>
      </c>
      <c r="N27" t="n">
        <v>0</v>
      </c>
      <c r="O27" t="n">
        <v>2</v>
      </c>
      <c r="P27" t="n">
        <v>0</v>
      </c>
      <c r="Q27" t="n">
        <v>3</v>
      </c>
      <c r="R27" s="2" t="inlineStr">
        <is>
          <t>Dropptaggsvamp
Motaggsvamp
Kambräken</t>
        </is>
      </c>
      <c r="S27">
        <f>HYPERLINK("https://klasma.github.io/Logging_0483/artfynd/A 44632-2023 artfynd.xlsx", "A 44632-2023")</f>
        <v/>
      </c>
      <c r="T27">
        <f>HYPERLINK("https://klasma.github.io/Logging_0483/kartor/A 44632-2023 karta.png", "A 44632-2023")</f>
        <v/>
      </c>
      <c r="V27">
        <f>HYPERLINK("https://klasma.github.io/Logging_0483/klagomål/A 44632-2023 FSC-klagomål.docx", "A 44632-2023")</f>
        <v/>
      </c>
      <c r="W27">
        <f>HYPERLINK("https://klasma.github.io/Logging_0483/klagomålsmail/A 44632-2023 FSC-klagomål mail.docx", "A 44632-2023")</f>
        <v/>
      </c>
      <c r="X27">
        <f>HYPERLINK("https://klasma.github.io/Logging_0483/tillsyn/A 44632-2023 tillsynsbegäran.docx", "A 44632-2023")</f>
        <v/>
      </c>
      <c r="Y27">
        <f>HYPERLINK("https://klasma.github.io/Logging_0483/tillsynsmail/A 44632-2023 tillsynsbegäran mail.docx", "A 44632-2023")</f>
        <v/>
      </c>
    </row>
    <row r="28" ht="15" customHeight="1">
      <c r="A28" t="inlineStr">
        <is>
          <t>A 27375-2024</t>
        </is>
      </c>
      <c r="B28" s="1" t="n">
        <v>45473</v>
      </c>
      <c r="C28" s="1" t="n">
        <v>46192</v>
      </c>
      <c r="D28" t="inlineStr">
        <is>
          <t>SÖDERMANLANDS LÄN</t>
        </is>
      </c>
      <c r="E28" t="inlineStr">
        <is>
          <t>KATRINEHOLM</t>
        </is>
      </c>
      <c r="F28" t="inlineStr">
        <is>
          <t>Kommuner</t>
        </is>
      </c>
      <c r="G28" t="n">
        <v>1.9</v>
      </c>
      <c r="H28" t="n">
        <v>2</v>
      </c>
      <c r="I28" t="n">
        <v>1</v>
      </c>
      <c r="J28" t="n">
        <v>1</v>
      </c>
      <c r="K28" t="n">
        <v>0</v>
      </c>
      <c r="L28" t="n">
        <v>0</v>
      </c>
      <c r="M28" t="n">
        <v>0</v>
      </c>
      <c r="N28" t="n">
        <v>0</v>
      </c>
      <c r="O28" t="n">
        <v>1</v>
      </c>
      <c r="P28" t="n">
        <v>0</v>
      </c>
      <c r="Q28" t="n">
        <v>3</v>
      </c>
      <c r="R28" s="2" t="inlineStr">
        <is>
          <t>Kricka
Scharlakansvårskål agg.
Åkergroda</t>
        </is>
      </c>
      <c r="S28">
        <f>HYPERLINK("https://klasma.github.io/Logging_0483/artfynd/A 27375-2024 artfynd.xlsx", "A 27375-2024")</f>
        <v/>
      </c>
      <c r="T28">
        <f>HYPERLINK("https://klasma.github.io/Logging_0483/kartor/A 27375-2024 karta.png", "A 27375-2024")</f>
        <v/>
      </c>
      <c r="V28">
        <f>HYPERLINK("https://klasma.github.io/Logging_0483/klagomål/A 27375-2024 FSC-klagomål.docx", "A 27375-2024")</f>
        <v/>
      </c>
      <c r="W28">
        <f>HYPERLINK("https://klasma.github.io/Logging_0483/klagomålsmail/A 27375-2024 FSC-klagomål mail.docx", "A 27375-2024")</f>
        <v/>
      </c>
      <c r="X28">
        <f>HYPERLINK("https://klasma.github.io/Logging_0483/tillsyn/A 27375-2024 tillsynsbegäran.docx", "A 27375-2024")</f>
        <v/>
      </c>
      <c r="Y28">
        <f>HYPERLINK("https://klasma.github.io/Logging_0483/tillsynsmail/A 27375-2024 tillsynsbegäran mail.docx", "A 27375-2024")</f>
        <v/>
      </c>
      <c r="Z28">
        <f>HYPERLINK("https://klasma.github.io/Logging_0483/fåglar/A 27375-2024 prioriterade fågelarter.docx", "A 27375-2024")</f>
        <v/>
      </c>
    </row>
    <row r="29" ht="15" customHeight="1">
      <c r="A29" t="inlineStr">
        <is>
          <t>A 30242-2023</t>
        </is>
      </c>
      <c r="B29" s="1" t="n">
        <v>45099</v>
      </c>
      <c r="C29" s="1" t="n">
        <v>46192</v>
      </c>
      <c r="D29" t="inlineStr">
        <is>
          <t>SÖDERMANLANDS LÄN</t>
        </is>
      </c>
      <c r="E29" t="inlineStr">
        <is>
          <t>KATRINEHOLM</t>
        </is>
      </c>
      <c r="G29" t="n">
        <v>3</v>
      </c>
      <c r="H29" t="n">
        <v>1</v>
      </c>
      <c r="I29" t="n">
        <v>0</v>
      </c>
      <c r="J29" t="n">
        <v>1</v>
      </c>
      <c r="K29" t="n">
        <v>1</v>
      </c>
      <c r="L29" t="n">
        <v>0</v>
      </c>
      <c r="M29" t="n">
        <v>0</v>
      </c>
      <c r="N29" t="n">
        <v>0</v>
      </c>
      <c r="O29" t="n">
        <v>2</v>
      </c>
      <c r="P29" t="n">
        <v>1</v>
      </c>
      <c r="Q29" t="n">
        <v>3</v>
      </c>
      <c r="R29" s="2" t="inlineStr">
        <is>
          <t>Mindre bastardsvärmare
Skogsklocka
Grönvit nattviol</t>
        </is>
      </c>
      <c r="S29">
        <f>HYPERLINK("https://klasma.github.io/Logging_0483/artfynd/A 30242-2023 artfynd.xlsx", "A 30242-2023")</f>
        <v/>
      </c>
      <c r="T29">
        <f>HYPERLINK("https://klasma.github.io/Logging_0483/kartor/A 30242-2023 karta.png", "A 30242-2023")</f>
        <v/>
      </c>
      <c r="V29">
        <f>HYPERLINK("https://klasma.github.io/Logging_0483/klagomål/A 30242-2023 FSC-klagomål.docx", "A 30242-2023")</f>
        <v/>
      </c>
      <c r="W29">
        <f>HYPERLINK("https://klasma.github.io/Logging_0483/klagomålsmail/A 30242-2023 FSC-klagomål mail.docx", "A 30242-2023")</f>
        <v/>
      </c>
      <c r="X29">
        <f>HYPERLINK("https://klasma.github.io/Logging_0483/tillsyn/A 30242-2023 tillsynsbegäran.docx", "A 30242-2023")</f>
        <v/>
      </c>
      <c r="Y29">
        <f>HYPERLINK("https://klasma.github.io/Logging_0483/tillsynsmail/A 30242-2023 tillsynsbegäran mail.docx", "A 30242-2023")</f>
        <v/>
      </c>
    </row>
    <row r="30" ht="15" customHeight="1">
      <c r="A30" t="inlineStr">
        <is>
          <t>A 56897-2021</t>
        </is>
      </c>
      <c r="B30" s="1" t="n">
        <v>44481</v>
      </c>
      <c r="C30" s="1" t="n">
        <v>46192</v>
      </c>
      <c r="D30" t="inlineStr">
        <is>
          <t>SÖDERMANLANDS LÄN</t>
        </is>
      </c>
      <c r="E30" t="inlineStr">
        <is>
          <t>KATRINEHOLM</t>
        </is>
      </c>
      <c r="F30" t="inlineStr">
        <is>
          <t>Kommuner</t>
        </is>
      </c>
      <c r="G30" t="n">
        <v>9.4</v>
      </c>
      <c r="H30" t="n">
        <v>2</v>
      </c>
      <c r="I30" t="n">
        <v>0</v>
      </c>
      <c r="J30" t="n">
        <v>1</v>
      </c>
      <c r="K30" t="n">
        <v>1</v>
      </c>
      <c r="L30" t="n">
        <v>0</v>
      </c>
      <c r="M30" t="n">
        <v>0</v>
      </c>
      <c r="N30" t="n">
        <v>0</v>
      </c>
      <c r="O30" t="n">
        <v>2</v>
      </c>
      <c r="P30" t="n">
        <v>1</v>
      </c>
      <c r="Q30" t="n">
        <v>3</v>
      </c>
      <c r="R30" s="2" t="inlineStr">
        <is>
          <t>Hökuggla
Tallticka
Blåsippa</t>
        </is>
      </c>
      <c r="S30">
        <f>HYPERLINK("https://klasma.github.io/Logging_0483/artfynd/A 56897-2021 artfynd.xlsx", "A 56897-2021")</f>
        <v/>
      </c>
      <c r="T30">
        <f>HYPERLINK("https://klasma.github.io/Logging_0483/kartor/A 56897-2021 karta.png", "A 56897-2021")</f>
        <v/>
      </c>
      <c r="V30">
        <f>HYPERLINK("https://klasma.github.io/Logging_0483/klagomål/A 56897-2021 FSC-klagomål.docx", "A 56897-2021")</f>
        <v/>
      </c>
      <c r="W30">
        <f>HYPERLINK("https://klasma.github.io/Logging_0483/klagomålsmail/A 56897-2021 FSC-klagomål mail.docx", "A 56897-2021")</f>
        <v/>
      </c>
      <c r="X30">
        <f>HYPERLINK("https://klasma.github.io/Logging_0483/tillsyn/A 56897-2021 tillsynsbegäran.docx", "A 56897-2021")</f>
        <v/>
      </c>
      <c r="Y30">
        <f>HYPERLINK("https://klasma.github.io/Logging_0483/tillsynsmail/A 56897-2021 tillsynsbegäran mail.docx", "A 56897-2021")</f>
        <v/>
      </c>
      <c r="Z30">
        <f>HYPERLINK("https://klasma.github.io/Logging_0483/fåglar/A 56897-2021 prioriterade fågelarter.docx", "A 56897-2021")</f>
        <v/>
      </c>
    </row>
    <row r="31" ht="15" customHeight="1">
      <c r="A31" t="inlineStr">
        <is>
          <t>A 45530-2023</t>
        </is>
      </c>
      <c r="B31" s="1" t="n">
        <v>45188</v>
      </c>
      <c r="C31" s="1" t="n">
        <v>46192</v>
      </c>
      <c r="D31" t="inlineStr">
        <is>
          <t>SÖDERMANLANDS LÄN</t>
        </is>
      </c>
      <c r="E31" t="inlineStr">
        <is>
          <t>KATRINEHOLM</t>
        </is>
      </c>
      <c r="F31" t="inlineStr">
        <is>
          <t>Allmännings- och besparingsskogar</t>
        </is>
      </c>
      <c r="G31" t="n">
        <v>37</v>
      </c>
      <c r="H31" t="n">
        <v>2</v>
      </c>
      <c r="I31" t="n">
        <v>1</v>
      </c>
      <c r="J31" t="n">
        <v>0</v>
      </c>
      <c r="K31" t="n">
        <v>0</v>
      </c>
      <c r="L31" t="n">
        <v>0</v>
      </c>
      <c r="M31" t="n">
        <v>0</v>
      </c>
      <c r="N31" t="n">
        <v>0</v>
      </c>
      <c r="O31" t="n">
        <v>0</v>
      </c>
      <c r="P31" t="n">
        <v>0</v>
      </c>
      <c r="Q31" t="n">
        <v>3</v>
      </c>
      <c r="R31" s="2" t="inlineStr">
        <is>
          <t>Björksplintborre
Mattlummer
Fläcknycklar</t>
        </is>
      </c>
      <c r="S31">
        <f>HYPERLINK("https://klasma.github.io/Logging_0483/artfynd/A 45530-2023 artfynd.xlsx", "A 45530-2023")</f>
        <v/>
      </c>
      <c r="T31">
        <f>HYPERLINK("https://klasma.github.io/Logging_0483/kartor/A 45530-2023 karta.png", "A 45530-2023")</f>
        <v/>
      </c>
      <c r="V31">
        <f>HYPERLINK("https://klasma.github.io/Logging_0483/klagomål/A 45530-2023 FSC-klagomål.docx", "A 45530-2023")</f>
        <v/>
      </c>
      <c r="W31">
        <f>HYPERLINK("https://klasma.github.io/Logging_0483/klagomålsmail/A 45530-2023 FSC-klagomål mail.docx", "A 45530-2023")</f>
        <v/>
      </c>
      <c r="X31">
        <f>HYPERLINK("https://klasma.github.io/Logging_0483/tillsyn/A 45530-2023 tillsynsbegäran.docx", "A 45530-2023")</f>
        <v/>
      </c>
      <c r="Y31">
        <f>HYPERLINK("https://klasma.github.io/Logging_0483/tillsynsmail/A 45530-2023 tillsynsbegäran mail.docx", "A 45530-2023")</f>
        <v/>
      </c>
    </row>
    <row r="32" ht="15" customHeight="1">
      <c r="A32" t="inlineStr">
        <is>
          <t>A 23568-2023</t>
        </is>
      </c>
      <c r="B32" s="1" t="n">
        <v>45077</v>
      </c>
      <c r="C32" s="1" t="n">
        <v>46192</v>
      </c>
      <c r="D32" t="inlineStr">
        <is>
          <t>SÖDERMANLANDS LÄN</t>
        </is>
      </c>
      <c r="E32" t="inlineStr">
        <is>
          <t>KATRINEHOLM</t>
        </is>
      </c>
      <c r="F32" t="inlineStr">
        <is>
          <t>Kommuner</t>
        </is>
      </c>
      <c r="G32" t="n">
        <v>1.4</v>
      </c>
      <c r="H32" t="n">
        <v>0</v>
      </c>
      <c r="I32" t="n">
        <v>1</v>
      </c>
      <c r="J32" t="n">
        <v>2</v>
      </c>
      <c r="K32" t="n">
        <v>0</v>
      </c>
      <c r="L32" t="n">
        <v>0</v>
      </c>
      <c r="M32" t="n">
        <v>0</v>
      </c>
      <c r="N32" t="n">
        <v>0</v>
      </c>
      <c r="O32" t="n">
        <v>2</v>
      </c>
      <c r="P32" t="n">
        <v>0</v>
      </c>
      <c r="Q32" t="n">
        <v>3</v>
      </c>
      <c r="R32" s="2" t="inlineStr">
        <is>
          <t>Fyrflikig jordstjärna
Svinrot
Grönpyrola</t>
        </is>
      </c>
      <c r="S32">
        <f>HYPERLINK("https://klasma.github.io/Logging_0483/artfynd/A 23568-2023 artfynd.xlsx", "A 23568-2023")</f>
        <v/>
      </c>
      <c r="T32">
        <f>HYPERLINK("https://klasma.github.io/Logging_0483/kartor/A 23568-2023 karta.png", "A 23568-2023")</f>
        <v/>
      </c>
      <c r="V32">
        <f>HYPERLINK("https://klasma.github.io/Logging_0483/klagomål/A 23568-2023 FSC-klagomål.docx", "A 23568-2023")</f>
        <v/>
      </c>
      <c r="W32">
        <f>HYPERLINK("https://klasma.github.io/Logging_0483/klagomålsmail/A 23568-2023 FSC-klagomål mail.docx", "A 23568-2023")</f>
        <v/>
      </c>
      <c r="X32">
        <f>HYPERLINK("https://klasma.github.io/Logging_0483/tillsyn/A 23568-2023 tillsynsbegäran.docx", "A 23568-2023")</f>
        <v/>
      </c>
      <c r="Y32">
        <f>HYPERLINK("https://klasma.github.io/Logging_0483/tillsynsmail/A 23568-2023 tillsynsbegäran mail.docx", "A 23568-2023")</f>
        <v/>
      </c>
    </row>
    <row r="33" ht="15" customHeight="1">
      <c r="A33" t="inlineStr">
        <is>
          <t>A 7322-2023</t>
        </is>
      </c>
      <c r="B33" s="1" t="n">
        <v>44970</v>
      </c>
      <c r="C33" s="1" t="n">
        <v>46192</v>
      </c>
      <c r="D33" t="inlineStr">
        <is>
          <t>SÖDERMANLANDS LÄN</t>
        </is>
      </c>
      <c r="E33" t="inlineStr">
        <is>
          <t>KATRINEHOLM</t>
        </is>
      </c>
      <c r="G33" t="n">
        <v>2.1</v>
      </c>
      <c r="H33" t="n">
        <v>3</v>
      </c>
      <c r="I33" t="n">
        <v>0</v>
      </c>
      <c r="J33" t="n">
        <v>1</v>
      </c>
      <c r="K33" t="n">
        <v>0</v>
      </c>
      <c r="L33" t="n">
        <v>0</v>
      </c>
      <c r="M33" t="n">
        <v>0</v>
      </c>
      <c r="N33" t="n">
        <v>0</v>
      </c>
      <c r="O33" t="n">
        <v>1</v>
      </c>
      <c r="P33" t="n">
        <v>0</v>
      </c>
      <c r="Q33" t="n">
        <v>3</v>
      </c>
      <c r="R33" s="2" t="inlineStr">
        <is>
          <t>Gulsparv
Spillkråka
Skogsödla</t>
        </is>
      </c>
      <c r="S33">
        <f>HYPERLINK("https://klasma.github.io/Logging_0483/artfynd/A 7322-2023 artfynd.xlsx", "A 7322-2023")</f>
        <v/>
      </c>
      <c r="T33">
        <f>HYPERLINK("https://klasma.github.io/Logging_0483/kartor/A 7322-2023 karta.png", "A 7322-2023")</f>
        <v/>
      </c>
      <c r="V33">
        <f>HYPERLINK("https://klasma.github.io/Logging_0483/klagomål/A 7322-2023 FSC-klagomål.docx", "A 7322-2023")</f>
        <v/>
      </c>
      <c r="W33">
        <f>HYPERLINK("https://klasma.github.io/Logging_0483/klagomålsmail/A 7322-2023 FSC-klagomål mail.docx", "A 7322-2023")</f>
        <v/>
      </c>
      <c r="X33">
        <f>HYPERLINK("https://klasma.github.io/Logging_0483/tillsyn/A 7322-2023 tillsynsbegäran.docx", "A 7322-2023")</f>
        <v/>
      </c>
      <c r="Y33">
        <f>HYPERLINK("https://klasma.github.io/Logging_0483/tillsynsmail/A 7322-2023 tillsynsbegäran mail.docx", "A 7322-2023")</f>
        <v/>
      </c>
      <c r="Z33">
        <f>HYPERLINK("https://klasma.github.io/Logging_0483/fåglar/A 7322-2023 prioriterade fågelarter.docx", "A 7322-2023")</f>
        <v/>
      </c>
    </row>
    <row r="34" ht="15" customHeight="1">
      <c r="A34" t="inlineStr">
        <is>
          <t>A 14858-2023</t>
        </is>
      </c>
      <c r="B34" s="1" t="n">
        <v>45014</v>
      </c>
      <c r="C34" s="1" t="n">
        <v>46192</v>
      </c>
      <c r="D34" t="inlineStr">
        <is>
          <t>SÖDERMANLANDS LÄN</t>
        </is>
      </c>
      <c r="E34" t="inlineStr">
        <is>
          <t>KATRINEHOLM</t>
        </is>
      </c>
      <c r="G34" t="n">
        <v>1</v>
      </c>
      <c r="H34" t="n">
        <v>3</v>
      </c>
      <c r="I34" t="n">
        <v>0</v>
      </c>
      <c r="J34" t="n">
        <v>0</v>
      </c>
      <c r="K34" t="n">
        <v>0</v>
      </c>
      <c r="L34" t="n">
        <v>0</v>
      </c>
      <c r="M34" t="n">
        <v>0</v>
      </c>
      <c r="N34" t="n">
        <v>0</v>
      </c>
      <c r="O34" t="n">
        <v>0</v>
      </c>
      <c r="P34" t="n">
        <v>0</v>
      </c>
      <c r="Q34" t="n">
        <v>3</v>
      </c>
      <c r="R34" s="2" t="inlineStr">
        <is>
          <t>Blåsippa
Spillkråka
Gullviva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65184-2021</t>
        </is>
      </c>
      <c r="B35" s="1" t="n">
        <v>44512</v>
      </c>
      <c r="C35" s="1" t="n">
        <v>46192</v>
      </c>
      <c r="D35" t="inlineStr">
        <is>
          <t>SÖDERMANLANDS LÄN</t>
        </is>
      </c>
      <c r="E35" t="inlineStr">
        <is>
          <t>KATRINEHOLM</t>
        </is>
      </c>
      <c r="G35" t="n">
        <v>1.8</v>
      </c>
      <c r="H35" t="n">
        <v>2</v>
      </c>
      <c r="I35" t="n">
        <v>0</v>
      </c>
      <c r="J35" t="n">
        <v>1</v>
      </c>
      <c r="K35" t="n">
        <v>1</v>
      </c>
      <c r="L35" t="n">
        <v>0</v>
      </c>
      <c r="M35" t="n">
        <v>0</v>
      </c>
      <c r="N35" t="n">
        <v>0</v>
      </c>
      <c r="O35" t="n">
        <v>2</v>
      </c>
      <c r="P35" t="n">
        <v>1</v>
      </c>
      <c r="Q35" t="n">
        <v>2</v>
      </c>
      <c r="R35" s="2" t="inlineStr">
        <is>
          <t>Stare
Gulsparv</t>
        </is>
      </c>
      <c r="S35">
        <f>HYPERLINK("https://klasma.github.io/Logging_0483/artfynd/A 65184-2021 artfynd.xlsx", "A 65184-2021")</f>
        <v/>
      </c>
      <c r="T35">
        <f>HYPERLINK("https://klasma.github.io/Logging_0483/kartor/A 65184-2021 karta.png", "A 65184-2021")</f>
        <v/>
      </c>
      <c r="V35">
        <f>HYPERLINK("https://klasma.github.io/Logging_0483/klagomål/A 65184-2021 FSC-klagomål.docx", "A 65184-2021")</f>
        <v/>
      </c>
      <c r="W35">
        <f>HYPERLINK("https://klasma.github.io/Logging_0483/klagomålsmail/A 65184-2021 FSC-klagomål mail.docx", "A 65184-2021")</f>
        <v/>
      </c>
      <c r="X35">
        <f>HYPERLINK("https://klasma.github.io/Logging_0483/tillsyn/A 65184-2021 tillsynsbegäran.docx", "A 65184-2021")</f>
        <v/>
      </c>
      <c r="Y35">
        <f>HYPERLINK("https://klasma.github.io/Logging_0483/tillsynsmail/A 65184-2021 tillsynsbegäran mail.docx", "A 65184-2021")</f>
        <v/>
      </c>
      <c r="Z35">
        <f>HYPERLINK("https://klasma.github.io/Logging_0483/fåglar/A 65184-2021 prioriterade fågelarter.docx", "A 65184-2021")</f>
        <v/>
      </c>
    </row>
    <row r="36" ht="15" customHeight="1">
      <c r="A36" t="inlineStr">
        <is>
          <t>A 25724-2022</t>
        </is>
      </c>
      <c r="B36" s="1" t="n">
        <v>44733</v>
      </c>
      <c r="C36" s="1" t="n">
        <v>46192</v>
      </c>
      <c r="D36" t="inlineStr">
        <is>
          <t>SÖDERMANLANDS LÄN</t>
        </is>
      </c>
      <c r="E36" t="inlineStr">
        <is>
          <t>KATRINEHOLM</t>
        </is>
      </c>
      <c r="G36" t="n">
        <v>0.8</v>
      </c>
      <c r="H36" t="n">
        <v>1</v>
      </c>
      <c r="I36" t="n">
        <v>1</v>
      </c>
      <c r="J36" t="n">
        <v>0</v>
      </c>
      <c r="K36" t="n">
        <v>0</v>
      </c>
      <c r="L36" t="n">
        <v>1</v>
      </c>
      <c r="M36" t="n">
        <v>0</v>
      </c>
      <c r="N36" t="n">
        <v>0</v>
      </c>
      <c r="O36" t="n">
        <v>1</v>
      </c>
      <c r="P36" t="n">
        <v>1</v>
      </c>
      <c r="Q36" t="n">
        <v>2</v>
      </c>
      <c r="R36" s="2" t="inlineStr">
        <is>
          <t>Bombmurkla
Kamjordstjärna</t>
        </is>
      </c>
      <c r="S36">
        <f>HYPERLINK("https://klasma.github.io/Logging_0483/artfynd/A 25724-2022 artfynd.xlsx", "A 25724-2022")</f>
        <v/>
      </c>
      <c r="T36">
        <f>HYPERLINK("https://klasma.github.io/Logging_0483/kartor/A 25724-2022 karta.png", "A 25724-2022")</f>
        <v/>
      </c>
      <c r="V36">
        <f>HYPERLINK("https://klasma.github.io/Logging_0483/klagomål/A 25724-2022 FSC-klagomål.docx", "A 25724-2022")</f>
        <v/>
      </c>
      <c r="W36">
        <f>HYPERLINK("https://klasma.github.io/Logging_0483/klagomålsmail/A 25724-2022 FSC-klagomål mail.docx", "A 25724-2022")</f>
        <v/>
      </c>
      <c r="X36">
        <f>HYPERLINK("https://klasma.github.io/Logging_0483/tillsyn/A 25724-2022 tillsynsbegäran.docx", "A 25724-2022")</f>
        <v/>
      </c>
      <c r="Y36">
        <f>HYPERLINK("https://klasma.github.io/Logging_0483/tillsynsmail/A 25724-2022 tillsynsbegäran mail.docx", "A 25724-2022")</f>
        <v/>
      </c>
    </row>
    <row r="37" ht="15" customHeight="1">
      <c r="A37" t="inlineStr">
        <is>
          <t>A 44262-2022</t>
        </is>
      </c>
      <c r="B37" s="1" t="n">
        <v>44839</v>
      </c>
      <c r="C37" s="1" t="n">
        <v>46192</v>
      </c>
      <c r="D37" t="inlineStr">
        <is>
          <t>SÖDERMANLANDS LÄN</t>
        </is>
      </c>
      <c r="E37" t="inlineStr">
        <is>
          <t>KATRINEHOLM</t>
        </is>
      </c>
      <c r="G37" t="n">
        <v>0.1</v>
      </c>
      <c r="H37" t="n">
        <v>2</v>
      </c>
      <c r="I37" t="n">
        <v>0</v>
      </c>
      <c r="J37" t="n">
        <v>0</v>
      </c>
      <c r="K37" t="n">
        <v>0</v>
      </c>
      <c r="L37" t="n">
        <v>1</v>
      </c>
      <c r="M37" t="n">
        <v>0</v>
      </c>
      <c r="N37" t="n">
        <v>0</v>
      </c>
      <c r="O37" t="n">
        <v>1</v>
      </c>
      <c r="P37" t="n">
        <v>1</v>
      </c>
      <c r="Q37" t="n">
        <v>2</v>
      </c>
      <c r="R37" s="2" t="inlineStr">
        <is>
          <t>Bombmurkla
Revlummer</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16458-2022</t>
        </is>
      </c>
      <c r="B38" s="1" t="n">
        <v>44671</v>
      </c>
      <c r="C38" s="1" t="n">
        <v>46192</v>
      </c>
      <c r="D38" t="inlineStr">
        <is>
          <t>SÖDERMANLANDS LÄN</t>
        </is>
      </c>
      <c r="E38" t="inlineStr">
        <is>
          <t>KATRINEHOLM</t>
        </is>
      </c>
      <c r="G38" t="n">
        <v>16.4</v>
      </c>
      <c r="H38" t="n">
        <v>2</v>
      </c>
      <c r="I38" t="n">
        <v>0</v>
      </c>
      <c r="J38" t="n">
        <v>1</v>
      </c>
      <c r="K38" t="n">
        <v>0</v>
      </c>
      <c r="L38" t="n">
        <v>0</v>
      </c>
      <c r="M38" t="n">
        <v>0</v>
      </c>
      <c r="N38" t="n">
        <v>0</v>
      </c>
      <c r="O38" t="n">
        <v>1</v>
      </c>
      <c r="P38" t="n">
        <v>0</v>
      </c>
      <c r="Q38" t="n">
        <v>2</v>
      </c>
      <c r="R38" s="2" t="inlineStr">
        <is>
          <t>Duvhök
Gröngöling</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40393-2022</t>
        </is>
      </c>
      <c r="B39" s="1" t="n">
        <v>44823</v>
      </c>
      <c r="C39" s="1" t="n">
        <v>46192</v>
      </c>
      <c r="D39" t="inlineStr">
        <is>
          <t>SÖDERMANLANDS LÄN</t>
        </is>
      </c>
      <c r="E39" t="inlineStr">
        <is>
          <t>KATRINEHOLM</t>
        </is>
      </c>
      <c r="G39" t="n">
        <v>1.3</v>
      </c>
      <c r="H39" t="n">
        <v>0</v>
      </c>
      <c r="I39" t="n">
        <v>1</v>
      </c>
      <c r="J39" t="n">
        <v>1</v>
      </c>
      <c r="K39" t="n">
        <v>0</v>
      </c>
      <c r="L39" t="n">
        <v>0</v>
      </c>
      <c r="M39" t="n">
        <v>0</v>
      </c>
      <c r="N39" t="n">
        <v>0</v>
      </c>
      <c r="O39" t="n">
        <v>1</v>
      </c>
      <c r="P39" t="n">
        <v>0</v>
      </c>
      <c r="Q39" t="n">
        <v>2</v>
      </c>
      <c r="R39" s="2" t="inlineStr">
        <is>
          <t>Aspstumpbagge
Spindelbock</t>
        </is>
      </c>
      <c r="S39">
        <f>HYPERLINK("https://klasma.github.io/Logging_0483/artfynd/A 40393-2022 artfynd.xlsx", "A 40393-2022")</f>
        <v/>
      </c>
      <c r="T39">
        <f>HYPERLINK("https://klasma.github.io/Logging_0483/kartor/A 40393-2022 karta.png", "A 40393-2022")</f>
        <v/>
      </c>
      <c r="V39">
        <f>HYPERLINK("https://klasma.github.io/Logging_0483/klagomål/A 40393-2022 FSC-klagomål.docx", "A 40393-2022")</f>
        <v/>
      </c>
      <c r="W39">
        <f>HYPERLINK("https://klasma.github.io/Logging_0483/klagomålsmail/A 40393-2022 FSC-klagomål mail.docx", "A 40393-2022")</f>
        <v/>
      </c>
      <c r="X39">
        <f>HYPERLINK("https://klasma.github.io/Logging_0483/tillsyn/A 40393-2022 tillsynsbegäran.docx", "A 40393-2022")</f>
        <v/>
      </c>
      <c r="Y39">
        <f>HYPERLINK("https://klasma.github.io/Logging_0483/tillsynsmail/A 40393-2022 tillsynsbegäran mail.docx", "A 40393-2022")</f>
        <v/>
      </c>
    </row>
    <row r="40" ht="15" customHeight="1">
      <c r="A40" t="inlineStr">
        <is>
          <t>A 61384-2021</t>
        </is>
      </c>
      <c r="B40" s="1" t="n">
        <v>44500</v>
      </c>
      <c r="C40" s="1" t="n">
        <v>46192</v>
      </c>
      <c r="D40" t="inlineStr">
        <is>
          <t>SÖDERMANLANDS LÄN</t>
        </is>
      </c>
      <c r="E40" t="inlineStr">
        <is>
          <t>KATRINEHOLM</t>
        </is>
      </c>
      <c r="G40" t="n">
        <v>5</v>
      </c>
      <c r="H40" t="n">
        <v>1</v>
      </c>
      <c r="I40" t="n">
        <v>0</v>
      </c>
      <c r="J40" t="n">
        <v>1</v>
      </c>
      <c r="K40" t="n">
        <v>1</v>
      </c>
      <c r="L40" t="n">
        <v>0</v>
      </c>
      <c r="M40" t="n">
        <v>0</v>
      </c>
      <c r="N40" t="n">
        <v>0</v>
      </c>
      <c r="O40" t="n">
        <v>2</v>
      </c>
      <c r="P40" t="n">
        <v>1</v>
      </c>
      <c r="Q40" t="n">
        <v>2</v>
      </c>
      <c r="R40" s="2" t="inlineStr">
        <is>
          <t>Knärot
Kungsspindling</t>
        </is>
      </c>
      <c r="S40">
        <f>HYPERLINK("https://klasma.github.io/Logging_0483/artfynd/A 61384-2021 artfynd.xlsx", "A 61384-2021")</f>
        <v/>
      </c>
      <c r="T40">
        <f>HYPERLINK("https://klasma.github.io/Logging_0483/kartor/A 61384-2021 karta.png", "A 61384-2021")</f>
        <v/>
      </c>
      <c r="U40">
        <f>HYPERLINK("https://klasma.github.io/Logging_0483/knärot/A 61384-2021 karta knärot.png", "A 61384-2021")</f>
        <v/>
      </c>
      <c r="V40">
        <f>HYPERLINK("https://klasma.github.io/Logging_0483/klagomål/A 61384-2021 FSC-klagomål.docx", "A 61384-2021")</f>
        <v/>
      </c>
      <c r="W40">
        <f>HYPERLINK("https://klasma.github.io/Logging_0483/klagomålsmail/A 61384-2021 FSC-klagomål mail.docx", "A 61384-2021")</f>
        <v/>
      </c>
      <c r="X40">
        <f>HYPERLINK("https://klasma.github.io/Logging_0483/tillsyn/A 61384-2021 tillsynsbegäran.docx", "A 61384-2021")</f>
        <v/>
      </c>
      <c r="Y40">
        <f>HYPERLINK("https://klasma.github.io/Logging_0483/tillsynsmail/A 61384-2021 tillsynsbegäran mail.docx", "A 61384-2021")</f>
        <v/>
      </c>
    </row>
    <row r="41" ht="15" customHeight="1">
      <c r="A41" t="inlineStr">
        <is>
          <t>A 32733-2021</t>
        </is>
      </c>
      <c r="B41" s="1" t="n">
        <v>44375</v>
      </c>
      <c r="C41" s="1" t="n">
        <v>46192</v>
      </c>
      <c r="D41" t="inlineStr">
        <is>
          <t>SÖDERMANLANDS LÄN</t>
        </is>
      </c>
      <c r="E41" t="inlineStr">
        <is>
          <t>KATRINEHOLM</t>
        </is>
      </c>
      <c r="G41" t="n">
        <v>9</v>
      </c>
      <c r="H41" t="n">
        <v>1</v>
      </c>
      <c r="I41" t="n">
        <v>1</v>
      </c>
      <c r="J41" t="n">
        <v>0</v>
      </c>
      <c r="K41" t="n">
        <v>1</v>
      </c>
      <c r="L41" t="n">
        <v>0</v>
      </c>
      <c r="M41" t="n">
        <v>0</v>
      </c>
      <c r="N41" t="n">
        <v>0</v>
      </c>
      <c r="O41" t="n">
        <v>1</v>
      </c>
      <c r="P41" t="n">
        <v>1</v>
      </c>
      <c r="Q41" t="n">
        <v>2</v>
      </c>
      <c r="R41" s="2" t="inlineStr">
        <is>
          <t>Knärot
Grönpyrola</t>
        </is>
      </c>
      <c r="S41">
        <f>HYPERLINK("https://klasma.github.io/Logging_0483/artfynd/A 32733-2021 artfynd.xlsx", "A 32733-2021")</f>
        <v/>
      </c>
      <c r="T41">
        <f>HYPERLINK("https://klasma.github.io/Logging_0483/kartor/A 32733-2021 karta.png", "A 32733-2021")</f>
        <v/>
      </c>
      <c r="U41">
        <f>HYPERLINK("https://klasma.github.io/Logging_0483/knärot/A 32733-2021 karta knärot.png", "A 32733-2021")</f>
        <v/>
      </c>
      <c r="V41">
        <f>HYPERLINK("https://klasma.github.io/Logging_0483/klagomål/A 32733-2021 FSC-klagomål.docx", "A 32733-2021")</f>
        <v/>
      </c>
      <c r="W41">
        <f>HYPERLINK("https://klasma.github.io/Logging_0483/klagomålsmail/A 32733-2021 FSC-klagomål mail.docx", "A 32733-2021")</f>
        <v/>
      </c>
      <c r="X41">
        <f>HYPERLINK("https://klasma.github.io/Logging_0483/tillsyn/A 32733-2021 tillsynsbegäran.docx", "A 32733-2021")</f>
        <v/>
      </c>
      <c r="Y41">
        <f>HYPERLINK("https://klasma.github.io/Logging_0483/tillsynsmail/A 32733-2021 tillsynsbegäran mail.docx", "A 32733-2021")</f>
        <v/>
      </c>
    </row>
    <row r="42" ht="15" customHeight="1">
      <c r="A42" t="inlineStr">
        <is>
          <t>A 42055-2025</t>
        </is>
      </c>
      <c r="B42" s="1" t="n">
        <v>45903</v>
      </c>
      <c r="C42" s="1" t="n">
        <v>46192</v>
      </c>
      <c r="D42" t="inlineStr">
        <is>
          <t>SÖDERMANLANDS LÄN</t>
        </is>
      </c>
      <c r="E42" t="inlineStr">
        <is>
          <t>KATRINEHOLM</t>
        </is>
      </c>
      <c r="F42" t="inlineStr">
        <is>
          <t>Allmännings- och besparingsskogar</t>
        </is>
      </c>
      <c r="G42" t="n">
        <v>0.8</v>
      </c>
      <c r="H42" t="n">
        <v>1</v>
      </c>
      <c r="I42" t="n">
        <v>1</v>
      </c>
      <c r="J42" t="n">
        <v>0</v>
      </c>
      <c r="K42" t="n">
        <v>0</v>
      </c>
      <c r="L42" t="n">
        <v>0</v>
      </c>
      <c r="M42" t="n">
        <v>0</v>
      </c>
      <c r="N42" t="n">
        <v>0</v>
      </c>
      <c r="O42" t="n">
        <v>0</v>
      </c>
      <c r="P42" t="n">
        <v>0</v>
      </c>
      <c r="Q42" t="n">
        <v>2</v>
      </c>
      <c r="R42" s="2" t="inlineStr">
        <is>
          <t>Björksplintborre
Revlummer</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1150-2025</t>
        </is>
      </c>
      <c r="B43" s="1" t="n">
        <v>45666</v>
      </c>
      <c r="C43" s="1" t="n">
        <v>46192</v>
      </c>
      <c r="D43" t="inlineStr">
        <is>
          <t>SÖDERMANLANDS LÄN</t>
        </is>
      </c>
      <c r="E43" t="inlineStr">
        <is>
          <t>KATRINEHOLM</t>
        </is>
      </c>
      <c r="G43" t="n">
        <v>8.9</v>
      </c>
      <c r="H43" t="n">
        <v>0</v>
      </c>
      <c r="I43" t="n">
        <v>1</v>
      </c>
      <c r="J43" t="n">
        <v>1</v>
      </c>
      <c r="K43" t="n">
        <v>0</v>
      </c>
      <c r="L43" t="n">
        <v>0</v>
      </c>
      <c r="M43" t="n">
        <v>0</v>
      </c>
      <c r="N43" t="n">
        <v>0</v>
      </c>
      <c r="O43" t="n">
        <v>1</v>
      </c>
      <c r="P43" t="n">
        <v>0</v>
      </c>
      <c r="Q43" t="n">
        <v>2</v>
      </c>
      <c r="R43" s="2" t="inlineStr">
        <is>
          <t>Motaggsvamp
Grovticka</t>
        </is>
      </c>
      <c r="S43">
        <f>HYPERLINK("https://klasma.github.io/Logging_0483/artfynd/A 1150-2025 artfynd.xlsx", "A 1150-2025")</f>
        <v/>
      </c>
      <c r="T43">
        <f>HYPERLINK("https://klasma.github.io/Logging_0483/kartor/A 1150-2025 karta.png", "A 1150-2025")</f>
        <v/>
      </c>
      <c r="V43">
        <f>HYPERLINK("https://klasma.github.io/Logging_0483/klagomål/A 1150-2025 FSC-klagomål.docx", "A 1150-2025")</f>
        <v/>
      </c>
      <c r="W43">
        <f>HYPERLINK("https://klasma.github.io/Logging_0483/klagomålsmail/A 1150-2025 FSC-klagomål mail.docx", "A 1150-2025")</f>
        <v/>
      </c>
      <c r="X43">
        <f>HYPERLINK("https://klasma.github.io/Logging_0483/tillsyn/A 1150-2025 tillsynsbegäran.docx", "A 1150-2025")</f>
        <v/>
      </c>
      <c r="Y43">
        <f>HYPERLINK("https://klasma.github.io/Logging_0483/tillsynsmail/A 1150-2025 tillsynsbegäran mail.docx", "A 1150-2025")</f>
        <v/>
      </c>
    </row>
    <row r="44" ht="15" customHeight="1">
      <c r="A44" t="inlineStr">
        <is>
          <t>A 12937-2023</t>
        </is>
      </c>
      <c r="B44" s="1" t="n">
        <v>45001</v>
      </c>
      <c r="C44" s="1" t="n">
        <v>46192</v>
      </c>
      <c r="D44" t="inlineStr">
        <is>
          <t>SÖDERMANLANDS LÄN</t>
        </is>
      </c>
      <c r="E44" t="inlineStr">
        <is>
          <t>KATRINEHOLM</t>
        </is>
      </c>
      <c r="G44" t="n">
        <v>0.9</v>
      </c>
      <c r="H44" t="n">
        <v>0</v>
      </c>
      <c r="I44" t="n">
        <v>0</v>
      </c>
      <c r="J44" t="n">
        <v>0</v>
      </c>
      <c r="K44" t="n">
        <v>2</v>
      </c>
      <c r="L44" t="n">
        <v>0</v>
      </c>
      <c r="M44" t="n">
        <v>0</v>
      </c>
      <c r="N44" t="n">
        <v>0</v>
      </c>
      <c r="O44" t="n">
        <v>2</v>
      </c>
      <c r="P44" t="n">
        <v>2</v>
      </c>
      <c r="Q44" t="n">
        <v>2</v>
      </c>
      <c r="R44" s="2" t="inlineStr">
        <is>
          <t>Mörkstiftig hällfibbla
Norsk fetfibbla</t>
        </is>
      </c>
      <c r="S44">
        <f>HYPERLINK("https://klasma.github.io/Logging_0483/artfynd/A 12937-2023 artfynd.xlsx", "A 12937-2023")</f>
        <v/>
      </c>
      <c r="T44">
        <f>HYPERLINK("https://klasma.github.io/Logging_0483/kartor/A 12937-2023 karta.png", "A 12937-2023")</f>
        <v/>
      </c>
      <c r="V44">
        <f>HYPERLINK("https://klasma.github.io/Logging_0483/klagomål/A 12937-2023 FSC-klagomål.docx", "A 12937-2023")</f>
        <v/>
      </c>
      <c r="W44">
        <f>HYPERLINK("https://klasma.github.io/Logging_0483/klagomålsmail/A 12937-2023 FSC-klagomål mail.docx", "A 12937-2023")</f>
        <v/>
      </c>
      <c r="X44">
        <f>HYPERLINK("https://klasma.github.io/Logging_0483/tillsyn/A 12937-2023 tillsynsbegäran.docx", "A 12937-2023")</f>
        <v/>
      </c>
      <c r="Y44">
        <f>HYPERLINK("https://klasma.github.io/Logging_0483/tillsynsmail/A 12937-2023 tillsynsbegäran mail.docx", "A 12937-2023")</f>
        <v/>
      </c>
    </row>
    <row r="45" ht="15" customHeight="1">
      <c r="A45" t="inlineStr">
        <is>
          <t>A 37537-2022</t>
        </is>
      </c>
      <c r="B45" s="1" t="n">
        <v>44809</v>
      </c>
      <c r="C45" s="1" t="n">
        <v>46192</v>
      </c>
      <c r="D45" t="inlineStr">
        <is>
          <t>SÖDERMANLANDS LÄN</t>
        </is>
      </c>
      <c r="E45" t="inlineStr">
        <is>
          <t>KATRINEHOLM</t>
        </is>
      </c>
      <c r="G45" t="n">
        <v>1.4</v>
      </c>
      <c r="H45" t="n">
        <v>0</v>
      </c>
      <c r="I45" t="n">
        <v>2</v>
      </c>
      <c r="J45" t="n">
        <v>0</v>
      </c>
      <c r="K45" t="n">
        <v>0</v>
      </c>
      <c r="L45" t="n">
        <v>0</v>
      </c>
      <c r="M45" t="n">
        <v>0</v>
      </c>
      <c r="N45" t="n">
        <v>0</v>
      </c>
      <c r="O45" t="n">
        <v>0</v>
      </c>
      <c r="P45" t="n">
        <v>0</v>
      </c>
      <c r="Q45" t="n">
        <v>2</v>
      </c>
      <c r="R45" s="2" t="inlineStr">
        <is>
          <t>Myskmadra
Svart trolldruva</t>
        </is>
      </c>
      <c r="S45">
        <f>HYPERLINK("https://klasma.github.io/Logging_0483/artfynd/A 37537-2022 artfynd.xlsx", "A 37537-2022")</f>
        <v/>
      </c>
      <c r="T45">
        <f>HYPERLINK("https://klasma.github.io/Logging_0483/kartor/A 37537-2022 karta.png", "A 37537-2022")</f>
        <v/>
      </c>
      <c r="V45">
        <f>HYPERLINK("https://klasma.github.io/Logging_0483/klagomål/A 37537-2022 FSC-klagomål.docx", "A 37537-2022")</f>
        <v/>
      </c>
      <c r="W45">
        <f>HYPERLINK("https://klasma.github.io/Logging_0483/klagomålsmail/A 37537-2022 FSC-klagomål mail.docx", "A 37537-2022")</f>
        <v/>
      </c>
      <c r="X45">
        <f>HYPERLINK("https://klasma.github.io/Logging_0483/tillsyn/A 37537-2022 tillsynsbegäran.docx", "A 37537-2022")</f>
        <v/>
      </c>
      <c r="Y45">
        <f>HYPERLINK("https://klasma.github.io/Logging_0483/tillsynsmail/A 37537-2022 tillsynsbegäran mail.docx", "A 37537-2022")</f>
        <v/>
      </c>
    </row>
    <row r="46" ht="15" customHeight="1">
      <c r="A46" t="inlineStr">
        <is>
          <t>A 53154-2023</t>
        </is>
      </c>
      <c r="B46" s="1" t="n">
        <v>45229</v>
      </c>
      <c r="C46" s="1" t="n">
        <v>46192</v>
      </c>
      <c r="D46" t="inlineStr">
        <is>
          <t>SÖDERMANLANDS LÄN</t>
        </is>
      </c>
      <c r="E46" t="inlineStr">
        <is>
          <t>KATRINEHOLM</t>
        </is>
      </c>
      <c r="G46" t="n">
        <v>2.1</v>
      </c>
      <c r="H46" t="n">
        <v>1</v>
      </c>
      <c r="I46" t="n">
        <v>0</v>
      </c>
      <c r="J46" t="n">
        <v>0</v>
      </c>
      <c r="K46" t="n">
        <v>0</v>
      </c>
      <c r="L46" t="n">
        <v>1</v>
      </c>
      <c r="M46" t="n">
        <v>0</v>
      </c>
      <c r="N46" t="n">
        <v>0</v>
      </c>
      <c r="O46" t="n">
        <v>1</v>
      </c>
      <c r="P46" t="n">
        <v>1</v>
      </c>
      <c r="Q46" t="n">
        <v>2</v>
      </c>
      <c r="R46" s="2" t="inlineStr">
        <is>
          <t>Ask
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63946-2025</t>
        </is>
      </c>
      <c r="B47" s="1" t="n">
        <v>46010</v>
      </c>
      <c r="C47" s="1" t="n">
        <v>46192</v>
      </c>
      <c r="D47" t="inlineStr">
        <is>
          <t>SÖDERMANLANDS LÄN</t>
        </is>
      </c>
      <c r="E47" t="inlineStr">
        <is>
          <t>KATRINEHOLM</t>
        </is>
      </c>
      <c r="F47" t="inlineStr">
        <is>
          <t>Allmännings- och besparingsskogar</t>
        </is>
      </c>
      <c r="G47" t="n">
        <v>2.4</v>
      </c>
      <c r="H47" t="n">
        <v>1</v>
      </c>
      <c r="I47" t="n">
        <v>0</v>
      </c>
      <c r="J47" t="n">
        <v>1</v>
      </c>
      <c r="K47" t="n">
        <v>0</v>
      </c>
      <c r="L47" t="n">
        <v>0</v>
      </c>
      <c r="M47" t="n">
        <v>0</v>
      </c>
      <c r="N47" t="n">
        <v>0</v>
      </c>
      <c r="O47" t="n">
        <v>1</v>
      </c>
      <c r="P47" t="n">
        <v>0</v>
      </c>
      <c r="Q47" t="n">
        <v>2</v>
      </c>
      <c r="R47" s="2" t="inlineStr">
        <is>
          <t>Tallticka
Skogsödla</t>
        </is>
      </c>
      <c r="S47">
        <f>HYPERLINK("https://klasma.github.io/Logging_0483/artfynd/A 63946-2025 artfynd.xlsx", "A 63946-2025")</f>
        <v/>
      </c>
      <c r="T47">
        <f>HYPERLINK("https://klasma.github.io/Logging_0483/kartor/A 63946-2025 karta.png", "A 63946-2025")</f>
        <v/>
      </c>
      <c r="V47">
        <f>HYPERLINK("https://klasma.github.io/Logging_0483/klagomål/A 63946-2025 FSC-klagomål.docx", "A 63946-2025")</f>
        <v/>
      </c>
      <c r="W47">
        <f>HYPERLINK("https://klasma.github.io/Logging_0483/klagomålsmail/A 63946-2025 FSC-klagomål mail.docx", "A 63946-2025")</f>
        <v/>
      </c>
      <c r="X47">
        <f>HYPERLINK("https://klasma.github.io/Logging_0483/tillsyn/A 63946-2025 tillsynsbegäran.docx", "A 63946-2025")</f>
        <v/>
      </c>
      <c r="Y47">
        <f>HYPERLINK("https://klasma.github.io/Logging_0483/tillsynsmail/A 63946-2025 tillsynsbegäran mail.docx", "A 63946-2025")</f>
        <v/>
      </c>
    </row>
    <row r="48" ht="15" customHeight="1">
      <c r="A48" t="inlineStr">
        <is>
          <t>A 14655-2023</t>
        </is>
      </c>
      <c r="B48" s="1" t="n">
        <v>45013</v>
      </c>
      <c r="C48" s="1" t="n">
        <v>46192</v>
      </c>
      <c r="D48" t="inlineStr">
        <is>
          <t>SÖDERMANLANDS LÄN</t>
        </is>
      </c>
      <c r="E48" t="inlineStr">
        <is>
          <t>KATRINEHOLM</t>
        </is>
      </c>
      <c r="G48" t="n">
        <v>4.4</v>
      </c>
      <c r="H48" t="n">
        <v>2</v>
      </c>
      <c r="I48" t="n">
        <v>0</v>
      </c>
      <c r="J48" t="n">
        <v>0</v>
      </c>
      <c r="K48" t="n">
        <v>0</v>
      </c>
      <c r="L48" t="n">
        <v>0</v>
      </c>
      <c r="M48" t="n">
        <v>0</v>
      </c>
      <c r="N48" t="n">
        <v>0</v>
      </c>
      <c r="O48" t="n">
        <v>0</v>
      </c>
      <c r="P48" t="n">
        <v>0</v>
      </c>
      <c r="Q48" t="n">
        <v>2</v>
      </c>
      <c r="R48" s="2" t="inlineStr">
        <is>
          <t>Spillkråka
Gröngöling</t>
        </is>
      </c>
      <c r="S48">
        <f>HYPERLINK("https://klasma.github.io/Logging_0483/artfynd/A 14655-2023 artfynd.xlsx", "A 14655-2023")</f>
        <v/>
      </c>
      <c r="T48">
        <f>HYPERLINK("https://klasma.github.io/Logging_0483/kartor/A 14655-2023 karta.png", "A 14655-2023")</f>
        <v/>
      </c>
      <c r="V48">
        <f>HYPERLINK("https://klasma.github.io/Logging_0483/klagomål/A 14655-2023 FSC-klagomål.docx", "A 14655-2023")</f>
        <v/>
      </c>
      <c r="W48">
        <f>HYPERLINK("https://klasma.github.io/Logging_0483/klagomålsmail/A 14655-2023 FSC-klagomål mail.docx", "A 14655-2023")</f>
        <v/>
      </c>
      <c r="X48">
        <f>HYPERLINK("https://klasma.github.io/Logging_0483/tillsyn/A 14655-2023 tillsynsbegäran.docx", "A 14655-2023")</f>
        <v/>
      </c>
      <c r="Y48">
        <f>HYPERLINK("https://klasma.github.io/Logging_0483/tillsynsmail/A 14655-2023 tillsynsbegäran mail.docx", "A 14655-2023")</f>
        <v/>
      </c>
      <c r="Z48">
        <f>HYPERLINK("https://klasma.github.io/Logging_0483/fåglar/A 14655-2023 prioriterade fågelarter.docx", "A 14655-2023")</f>
        <v/>
      </c>
    </row>
    <row r="49" ht="15" customHeight="1">
      <c r="A49" t="inlineStr">
        <is>
          <t>A 16435-2026</t>
        </is>
      </c>
      <c r="B49" s="1" t="n">
        <v>46111</v>
      </c>
      <c r="C49" s="1" t="n">
        <v>46192</v>
      </c>
      <c r="D49" t="inlineStr">
        <is>
          <t>SÖDERMANLANDS LÄN</t>
        </is>
      </c>
      <c r="E49" t="inlineStr">
        <is>
          <t>KATRINEHOLM</t>
        </is>
      </c>
      <c r="G49" t="n">
        <v>5.7</v>
      </c>
      <c r="H49" t="n">
        <v>1</v>
      </c>
      <c r="I49" t="n">
        <v>0</v>
      </c>
      <c r="J49" t="n">
        <v>1</v>
      </c>
      <c r="K49" t="n">
        <v>0</v>
      </c>
      <c r="L49" t="n">
        <v>0</v>
      </c>
      <c r="M49" t="n">
        <v>0</v>
      </c>
      <c r="N49" t="n">
        <v>0</v>
      </c>
      <c r="O49" t="n">
        <v>1</v>
      </c>
      <c r="P49" t="n">
        <v>0</v>
      </c>
      <c r="Q49" t="n">
        <v>2</v>
      </c>
      <c r="R49" s="2" t="inlineStr">
        <is>
          <t>Dropptaggsvamp
Mattlummer</t>
        </is>
      </c>
      <c r="S49">
        <f>HYPERLINK("https://klasma.github.io/Logging_0483/artfynd/A 16435-2026 artfynd.xlsx", "A 16435-2026")</f>
        <v/>
      </c>
      <c r="T49">
        <f>HYPERLINK("https://klasma.github.io/Logging_0483/kartor/A 16435-2026 karta.png", "A 16435-2026")</f>
        <v/>
      </c>
      <c r="V49">
        <f>HYPERLINK("https://klasma.github.io/Logging_0483/klagomål/A 16435-2026 FSC-klagomål.docx", "A 16435-2026")</f>
        <v/>
      </c>
      <c r="W49">
        <f>HYPERLINK("https://klasma.github.io/Logging_0483/klagomålsmail/A 16435-2026 FSC-klagomål mail.docx", "A 16435-2026")</f>
        <v/>
      </c>
      <c r="X49">
        <f>HYPERLINK("https://klasma.github.io/Logging_0483/tillsyn/A 16435-2026 tillsynsbegäran.docx", "A 16435-2026")</f>
        <v/>
      </c>
      <c r="Y49">
        <f>HYPERLINK("https://klasma.github.io/Logging_0483/tillsynsmail/A 16435-2026 tillsynsbegäran mail.docx", "A 16435-2026")</f>
        <v/>
      </c>
    </row>
    <row r="50" ht="15" customHeight="1">
      <c r="A50" t="inlineStr">
        <is>
          <t>A 23804-2026</t>
        </is>
      </c>
      <c r="B50" s="1" t="n">
        <v>46164</v>
      </c>
      <c r="C50" s="1" t="n">
        <v>46192</v>
      </c>
      <c r="D50" t="inlineStr">
        <is>
          <t>SÖDERMANLANDS LÄN</t>
        </is>
      </c>
      <c r="E50" t="inlineStr">
        <is>
          <t>KATRINEHOLM</t>
        </is>
      </c>
      <c r="G50" t="n">
        <v>4.6</v>
      </c>
      <c r="H50" t="n">
        <v>1</v>
      </c>
      <c r="I50" t="n">
        <v>0</v>
      </c>
      <c r="J50" t="n">
        <v>1</v>
      </c>
      <c r="K50" t="n">
        <v>0</v>
      </c>
      <c r="L50" t="n">
        <v>0</v>
      </c>
      <c r="M50" t="n">
        <v>0</v>
      </c>
      <c r="N50" t="n">
        <v>0</v>
      </c>
      <c r="O50" t="n">
        <v>1</v>
      </c>
      <c r="P50" t="n">
        <v>0</v>
      </c>
      <c r="Q50" t="n">
        <v>2</v>
      </c>
      <c r="R50" s="2" t="inlineStr">
        <is>
          <t>Tallticka
Revlummer</t>
        </is>
      </c>
      <c r="S50">
        <f>HYPERLINK("https://klasma.github.io/Logging_0483/artfynd/A 23804-2026 artfynd.xlsx", "A 23804-2026")</f>
        <v/>
      </c>
      <c r="T50">
        <f>HYPERLINK("https://klasma.github.io/Logging_0483/kartor/A 23804-2026 karta.png", "A 23804-2026")</f>
        <v/>
      </c>
      <c r="V50">
        <f>HYPERLINK("https://klasma.github.io/Logging_0483/klagomål/A 23804-2026 FSC-klagomål.docx", "A 23804-2026")</f>
        <v/>
      </c>
      <c r="W50">
        <f>HYPERLINK("https://klasma.github.io/Logging_0483/klagomålsmail/A 23804-2026 FSC-klagomål mail.docx", "A 23804-2026")</f>
        <v/>
      </c>
      <c r="X50">
        <f>HYPERLINK("https://klasma.github.io/Logging_0483/tillsyn/A 23804-2026 tillsynsbegäran.docx", "A 23804-2026")</f>
        <v/>
      </c>
      <c r="Y50">
        <f>HYPERLINK("https://klasma.github.io/Logging_0483/tillsynsmail/A 23804-2026 tillsynsbegäran mail.docx", "A 23804-2026")</f>
        <v/>
      </c>
    </row>
    <row r="51" ht="15" customHeight="1">
      <c r="A51" t="inlineStr">
        <is>
          <t>A 11890-2023</t>
        </is>
      </c>
      <c r="B51" s="1" t="n">
        <v>44995</v>
      </c>
      <c r="C51" s="1" t="n">
        <v>46192</v>
      </c>
      <c r="D51" t="inlineStr">
        <is>
          <t>SÖDERMANLANDS LÄN</t>
        </is>
      </c>
      <c r="E51" t="inlineStr">
        <is>
          <t>KATRINEHOLM</t>
        </is>
      </c>
      <c r="F51" t="inlineStr">
        <is>
          <t>Kommuner</t>
        </is>
      </c>
      <c r="G51" t="n">
        <v>6.7</v>
      </c>
      <c r="H51" t="n">
        <v>1</v>
      </c>
      <c r="I51" t="n">
        <v>1</v>
      </c>
      <c r="J51" t="n">
        <v>0</v>
      </c>
      <c r="K51" t="n">
        <v>1</v>
      </c>
      <c r="L51" t="n">
        <v>0</v>
      </c>
      <c r="M51" t="n">
        <v>0</v>
      </c>
      <c r="N51" t="n">
        <v>0</v>
      </c>
      <c r="O51" t="n">
        <v>1</v>
      </c>
      <c r="P51" t="n">
        <v>1</v>
      </c>
      <c r="Q51" t="n">
        <v>2</v>
      </c>
      <c r="R51" s="2" t="inlineStr">
        <is>
          <t>Skrovlig taggsvamp
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11890-2023</t>
        </is>
      </c>
      <c r="B52" s="1" t="n">
        <v>44995</v>
      </c>
      <c r="C52" s="1" t="n">
        <v>46192</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53471-2024</t>
        </is>
      </c>
      <c r="B53" s="1" t="n">
        <v>45614</v>
      </c>
      <c r="C53" s="1" t="n">
        <v>46192</v>
      </c>
      <c r="D53" t="inlineStr">
        <is>
          <t>SÖDERMANLANDS LÄN</t>
        </is>
      </c>
      <c r="E53" t="inlineStr">
        <is>
          <t>KATRINEHOLM</t>
        </is>
      </c>
      <c r="G53" t="n">
        <v>12.7</v>
      </c>
      <c r="H53" t="n">
        <v>1</v>
      </c>
      <c r="I53" t="n">
        <v>2</v>
      </c>
      <c r="J53" t="n">
        <v>0</v>
      </c>
      <c r="K53" t="n">
        <v>0</v>
      </c>
      <c r="L53" t="n">
        <v>0</v>
      </c>
      <c r="M53" t="n">
        <v>0</v>
      </c>
      <c r="N53" t="n">
        <v>0</v>
      </c>
      <c r="O53" t="n">
        <v>0</v>
      </c>
      <c r="P53" t="n">
        <v>0</v>
      </c>
      <c r="Q53" t="n">
        <v>2</v>
      </c>
      <c r="R53" s="2" t="inlineStr">
        <is>
          <t>Grönpyrola
Plattlummer</t>
        </is>
      </c>
      <c r="S53">
        <f>HYPERLINK("https://klasma.github.io/Logging_0483/artfynd/A 53471-2024 artfynd.xlsx", "A 53471-2024")</f>
        <v/>
      </c>
      <c r="T53">
        <f>HYPERLINK("https://klasma.github.io/Logging_0483/kartor/A 53471-2024 karta.png", "A 53471-2024")</f>
        <v/>
      </c>
      <c r="V53">
        <f>HYPERLINK("https://klasma.github.io/Logging_0483/klagomål/A 53471-2024 FSC-klagomål.docx", "A 53471-2024")</f>
        <v/>
      </c>
      <c r="W53">
        <f>HYPERLINK("https://klasma.github.io/Logging_0483/klagomålsmail/A 53471-2024 FSC-klagomål mail.docx", "A 53471-2024")</f>
        <v/>
      </c>
      <c r="X53">
        <f>HYPERLINK("https://klasma.github.io/Logging_0483/tillsyn/A 53471-2024 tillsynsbegäran.docx", "A 53471-2024")</f>
        <v/>
      </c>
      <c r="Y53">
        <f>HYPERLINK("https://klasma.github.io/Logging_0483/tillsynsmail/A 53471-2024 tillsynsbegäran mail.docx", "A 53471-2024")</f>
        <v/>
      </c>
    </row>
    <row r="54" ht="15" customHeight="1">
      <c r="A54" t="inlineStr">
        <is>
          <t>A 23239-2022</t>
        </is>
      </c>
      <c r="B54" s="1" t="n">
        <v>44719</v>
      </c>
      <c r="C54" s="1" t="n">
        <v>46192</v>
      </c>
      <c r="D54" t="inlineStr">
        <is>
          <t>SÖDERMANLANDS LÄN</t>
        </is>
      </c>
      <c r="E54" t="inlineStr">
        <is>
          <t>KATRINEHOLM</t>
        </is>
      </c>
      <c r="G54" t="n">
        <v>7.4</v>
      </c>
      <c r="H54" t="n">
        <v>0</v>
      </c>
      <c r="I54" t="n">
        <v>0</v>
      </c>
      <c r="J54" t="n">
        <v>1</v>
      </c>
      <c r="K54" t="n">
        <v>0</v>
      </c>
      <c r="L54" t="n">
        <v>0</v>
      </c>
      <c r="M54" t="n">
        <v>0</v>
      </c>
      <c r="N54" t="n">
        <v>0</v>
      </c>
      <c r="O54" t="n">
        <v>1</v>
      </c>
      <c r="P54" t="n">
        <v>0</v>
      </c>
      <c r="Q54" t="n">
        <v>1</v>
      </c>
      <c r="R54" s="2" t="inlineStr">
        <is>
          <t>Bronspraktbagge</t>
        </is>
      </c>
      <c r="S54">
        <f>HYPERLINK("https://klasma.github.io/Logging_0483/artfynd/A 23239-2022 artfynd.xlsx", "A 23239-2022")</f>
        <v/>
      </c>
      <c r="T54">
        <f>HYPERLINK("https://klasma.github.io/Logging_0483/kartor/A 23239-2022 karta.png", "A 23239-2022")</f>
        <v/>
      </c>
      <c r="V54">
        <f>HYPERLINK("https://klasma.github.io/Logging_0483/klagomål/A 23239-2022 FSC-klagomål.docx", "A 23239-2022")</f>
        <v/>
      </c>
      <c r="W54">
        <f>HYPERLINK("https://klasma.github.io/Logging_0483/klagomålsmail/A 23239-2022 FSC-klagomål mail.docx", "A 23239-2022")</f>
        <v/>
      </c>
      <c r="X54">
        <f>HYPERLINK("https://klasma.github.io/Logging_0483/tillsyn/A 23239-2022 tillsynsbegäran.docx", "A 23239-2022")</f>
        <v/>
      </c>
      <c r="Y54">
        <f>HYPERLINK("https://klasma.github.io/Logging_0483/tillsynsmail/A 23239-2022 tillsynsbegäran mail.docx", "A 23239-2022")</f>
        <v/>
      </c>
    </row>
    <row r="55" ht="15" customHeight="1">
      <c r="A55" t="inlineStr">
        <is>
          <t>A 6768-2022</t>
        </is>
      </c>
      <c r="B55" s="1" t="n">
        <v>44602</v>
      </c>
      <c r="C55" s="1" t="n">
        <v>46192</v>
      </c>
      <c r="D55" t="inlineStr">
        <is>
          <t>SÖDERMANLANDS LÄN</t>
        </is>
      </c>
      <c r="E55" t="inlineStr">
        <is>
          <t>KATRINEHOLM</t>
        </is>
      </c>
      <c r="G55" t="n">
        <v>12</v>
      </c>
      <c r="H55" t="n">
        <v>0</v>
      </c>
      <c r="I55" t="n">
        <v>0</v>
      </c>
      <c r="J55" t="n">
        <v>0</v>
      </c>
      <c r="K55" t="n">
        <v>1</v>
      </c>
      <c r="L55" t="n">
        <v>0</v>
      </c>
      <c r="M55" t="n">
        <v>0</v>
      </c>
      <c r="N55" t="n">
        <v>0</v>
      </c>
      <c r="O55" t="n">
        <v>1</v>
      </c>
      <c r="P55" t="n">
        <v>1</v>
      </c>
      <c r="Q55" t="n">
        <v>1</v>
      </c>
      <c r="R55" s="2" t="inlineStr">
        <is>
          <t>Igelkott</t>
        </is>
      </c>
      <c r="S55">
        <f>HYPERLINK("https://klasma.github.io/Logging_0483/artfynd/A 6768-2022 artfynd.xlsx", "A 6768-2022")</f>
        <v/>
      </c>
      <c r="T55">
        <f>HYPERLINK("https://klasma.github.io/Logging_0483/kartor/A 6768-2022 karta.png", "A 6768-2022")</f>
        <v/>
      </c>
      <c r="V55">
        <f>HYPERLINK("https://klasma.github.io/Logging_0483/klagomål/A 6768-2022 FSC-klagomål.docx", "A 6768-2022")</f>
        <v/>
      </c>
      <c r="W55">
        <f>HYPERLINK("https://klasma.github.io/Logging_0483/klagomålsmail/A 6768-2022 FSC-klagomål mail.docx", "A 6768-2022")</f>
        <v/>
      </c>
      <c r="X55">
        <f>HYPERLINK("https://klasma.github.io/Logging_0483/tillsyn/A 6768-2022 tillsynsbegäran.docx", "A 6768-2022")</f>
        <v/>
      </c>
      <c r="Y55">
        <f>HYPERLINK("https://klasma.github.io/Logging_0483/tillsynsmail/A 6768-2022 tillsynsbegäran mail.docx", "A 6768-2022")</f>
        <v/>
      </c>
    </row>
    <row r="56" ht="15" customHeight="1">
      <c r="A56" t="inlineStr">
        <is>
          <t>A 72851-2021</t>
        </is>
      </c>
      <c r="B56" s="1" t="n">
        <v>44546</v>
      </c>
      <c r="C56" s="1" t="n">
        <v>46192</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2877-2022</t>
        </is>
      </c>
      <c r="B57" s="1" t="n">
        <v>44581</v>
      </c>
      <c r="C57" s="1" t="n">
        <v>46192</v>
      </c>
      <c r="D57" t="inlineStr">
        <is>
          <t>SÖDERMANLANDS LÄN</t>
        </is>
      </c>
      <c r="E57" t="inlineStr">
        <is>
          <t>KATRINEHOLM</t>
        </is>
      </c>
      <c r="G57" t="n">
        <v>10.3</v>
      </c>
      <c r="H57" t="n">
        <v>1</v>
      </c>
      <c r="I57" t="n">
        <v>0</v>
      </c>
      <c r="J57" t="n">
        <v>0</v>
      </c>
      <c r="K57" t="n">
        <v>0</v>
      </c>
      <c r="L57" t="n">
        <v>0</v>
      </c>
      <c r="M57" t="n">
        <v>0</v>
      </c>
      <c r="N57" t="n">
        <v>0</v>
      </c>
      <c r="O57" t="n">
        <v>0</v>
      </c>
      <c r="P57" t="n">
        <v>0</v>
      </c>
      <c r="Q57" t="n">
        <v>1</v>
      </c>
      <c r="R57" s="2" t="inlineStr">
        <is>
          <t>Kungsfågel</t>
        </is>
      </c>
      <c r="S57">
        <f>HYPERLINK("https://klasma.github.io/Logging_0483/artfynd/A 2877-2022 artfynd.xlsx", "A 2877-2022")</f>
        <v/>
      </c>
      <c r="T57">
        <f>HYPERLINK("https://klasma.github.io/Logging_0483/kartor/A 2877-2022 karta.png", "A 2877-2022")</f>
        <v/>
      </c>
      <c r="V57">
        <f>HYPERLINK("https://klasma.github.io/Logging_0483/klagomål/A 2877-2022 FSC-klagomål.docx", "A 2877-2022")</f>
        <v/>
      </c>
      <c r="W57">
        <f>HYPERLINK("https://klasma.github.io/Logging_0483/klagomålsmail/A 2877-2022 FSC-klagomål mail.docx", "A 2877-2022")</f>
        <v/>
      </c>
      <c r="X57">
        <f>HYPERLINK("https://klasma.github.io/Logging_0483/tillsyn/A 2877-2022 tillsynsbegäran.docx", "A 2877-2022")</f>
        <v/>
      </c>
      <c r="Y57">
        <f>HYPERLINK("https://klasma.github.io/Logging_0483/tillsynsmail/A 2877-2022 tillsynsbegäran mail.docx", "A 2877-2022")</f>
        <v/>
      </c>
      <c r="Z57">
        <f>HYPERLINK("https://klasma.github.io/Logging_0483/fåglar/A 2877-2022 prioriterade fågelarter.docx", "A 2877-2022")</f>
        <v/>
      </c>
    </row>
    <row r="58" ht="15" customHeight="1">
      <c r="A58" t="inlineStr">
        <is>
          <t>A 6076-2022</t>
        </is>
      </c>
      <c r="B58" s="1" t="n">
        <v>44599</v>
      </c>
      <c r="C58" s="1" t="n">
        <v>46192</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41074-2025</t>
        </is>
      </c>
      <c r="B59" s="1" t="n">
        <v>45898</v>
      </c>
      <c r="C59" s="1" t="n">
        <v>46192</v>
      </c>
      <c r="D59" t="inlineStr">
        <is>
          <t>SÖDERMANLANDS LÄN</t>
        </is>
      </c>
      <c r="E59" t="inlineStr">
        <is>
          <t>KATRINEHOLM</t>
        </is>
      </c>
      <c r="F59" t="inlineStr">
        <is>
          <t>Allmännings- och besparingsskogar</t>
        </is>
      </c>
      <c r="G59" t="n">
        <v>4.8</v>
      </c>
      <c r="H59" t="n">
        <v>1</v>
      </c>
      <c r="I59" t="n">
        <v>0</v>
      </c>
      <c r="J59" t="n">
        <v>0</v>
      </c>
      <c r="K59" t="n">
        <v>0</v>
      </c>
      <c r="L59" t="n">
        <v>0</v>
      </c>
      <c r="M59" t="n">
        <v>0</v>
      </c>
      <c r="N59" t="n">
        <v>0</v>
      </c>
      <c r="O59" t="n">
        <v>0</v>
      </c>
      <c r="P59" t="n">
        <v>0</v>
      </c>
      <c r="Q59" t="n">
        <v>1</v>
      </c>
      <c r="R59" s="2" t="inlineStr">
        <is>
          <t>Utter</t>
        </is>
      </c>
      <c r="S59">
        <f>HYPERLINK("https://klasma.github.io/Logging_0483/artfynd/A 41074-2025 artfynd.xlsx", "A 41074-2025")</f>
        <v/>
      </c>
      <c r="T59">
        <f>HYPERLINK("https://klasma.github.io/Logging_0483/kartor/A 41074-2025 karta.png", "A 41074-2025")</f>
        <v/>
      </c>
      <c r="V59">
        <f>HYPERLINK("https://klasma.github.io/Logging_0483/klagomål/A 41074-2025 FSC-klagomål.docx", "A 41074-2025")</f>
        <v/>
      </c>
      <c r="W59">
        <f>HYPERLINK("https://klasma.github.io/Logging_0483/klagomålsmail/A 41074-2025 FSC-klagomål mail.docx", "A 41074-2025")</f>
        <v/>
      </c>
      <c r="X59">
        <f>HYPERLINK("https://klasma.github.io/Logging_0483/tillsyn/A 41074-2025 tillsynsbegäran.docx", "A 41074-2025")</f>
        <v/>
      </c>
      <c r="Y59">
        <f>HYPERLINK("https://klasma.github.io/Logging_0483/tillsynsmail/A 41074-2025 tillsynsbegäran mail.docx", "A 41074-2025")</f>
        <v/>
      </c>
    </row>
    <row r="60" ht="15" customHeight="1">
      <c r="A60" t="inlineStr">
        <is>
          <t>A 23341-2023</t>
        </is>
      </c>
      <c r="B60" s="1" t="n">
        <v>45076</v>
      </c>
      <c r="C60" s="1" t="n">
        <v>46192</v>
      </c>
      <c r="D60" t="inlineStr">
        <is>
          <t>SÖDERMANLANDS LÄN</t>
        </is>
      </c>
      <c r="E60" t="inlineStr">
        <is>
          <t>KATRINEHOLM</t>
        </is>
      </c>
      <c r="G60" t="n">
        <v>3.5</v>
      </c>
      <c r="H60" t="n">
        <v>0</v>
      </c>
      <c r="I60" t="n">
        <v>1</v>
      </c>
      <c r="J60" t="n">
        <v>0</v>
      </c>
      <c r="K60" t="n">
        <v>0</v>
      </c>
      <c r="L60" t="n">
        <v>0</v>
      </c>
      <c r="M60" t="n">
        <v>0</v>
      </c>
      <c r="N60" t="n">
        <v>0</v>
      </c>
      <c r="O60" t="n">
        <v>0</v>
      </c>
      <c r="P60" t="n">
        <v>0</v>
      </c>
      <c r="Q60" t="n">
        <v>1</v>
      </c>
      <c r="R60" s="2" t="inlineStr">
        <is>
          <t>Grönpyrola</t>
        </is>
      </c>
      <c r="S60">
        <f>HYPERLINK("https://klasma.github.io/Logging_0483/artfynd/A 23341-2023 artfynd.xlsx", "A 23341-2023")</f>
        <v/>
      </c>
      <c r="T60">
        <f>HYPERLINK("https://klasma.github.io/Logging_0483/kartor/A 23341-2023 karta.png", "A 23341-2023")</f>
        <v/>
      </c>
      <c r="V60">
        <f>HYPERLINK("https://klasma.github.io/Logging_0483/klagomål/A 23341-2023 FSC-klagomål.docx", "A 23341-2023")</f>
        <v/>
      </c>
      <c r="W60">
        <f>HYPERLINK("https://klasma.github.io/Logging_0483/klagomålsmail/A 23341-2023 FSC-klagomål mail.docx", "A 23341-2023")</f>
        <v/>
      </c>
      <c r="X60">
        <f>HYPERLINK("https://klasma.github.io/Logging_0483/tillsyn/A 23341-2023 tillsynsbegäran.docx", "A 23341-2023")</f>
        <v/>
      </c>
      <c r="Y60">
        <f>HYPERLINK("https://klasma.github.io/Logging_0483/tillsynsmail/A 23341-2023 tillsynsbegäran mail.docx", "A 23341-2023")</f>
        <v/>
      </c>
    </row>
    <row r="61" ht="15" customHeight="1">
      <c r="A61" t="inlineStr">
        <is>
          <t>A 28985-2022</t>
        </is>
      </c>
      <c r="B61" s="1" t="n">
        <v>44749</v>
      </c>
      <c r="C61" s="1" t="n">
        <v>46192</v>
      </c>
      <c r="D61" t="inlineStr">
        <is>
          <t>SÖDERMANLANDS LÄN</t>
        </is>
      </c>
      <c r="E61" t="inlineStr">
        <is>
          <t>KATRINEHOLM</t>
        </is>
      </c>
      <c r="G61" t="n">
        <v>6.4</v>
      </c>
      <c r="H61" t="n">
        <v>0</v>
      </c>
      <c r="I61" t="n">
        <v>0</v>
      </c>
      <c r="J61" t="n">
        <v>0</v>
      </c>
      <c r="K61" t="n">
        <v>1</v>
      </c>
      <c r="L61" t="n">
        <v>0</v>
      </c>
      <c r="M61" t="n">
        <v>0</v>
      </c>
      <c r="N61" t="n">
        <v>0</v>
      </c>
      <c r="O61" t="n">
        <v>1</v>
      </c>
      <c r="P61" t="n">
        <v>1</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36220-2022</t>
        </is>
      </c>
      <c r="B62" s="1" t="n">
        <v>44803</v>
      </c>
      <c r="C62" s="1" t="n">
        <v>46192</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42745-2022</t>
        </is>
      </c>
      <c r="B63" s="1" t="n">
        <v>44831</v>
      </c>
      <c r="C63" s="1" t="n">
        <v>46192</v>
      </c>
      <c r="D63" t="inlineStr">
        <is>
          <t>SÖDERMANLANDS LÄN</t>
        </is>
      </c>
      <c r="E63" t="inlineStr">
        <is>
          <t>KATRINEHOLM</t>
        </is>
      </c>
      <c r="G63" t="n">
        <v>4.6</v>
      </c>
      <c r="H63" t="n">
        <v>0</v>
      </c>
      <c r="I63" t="n">
        <v>0</v>
      </c>
      <c r="J63" t="n">
        <v>1</v>
      </c>
      <c r="K63" t="n">
        <v>0</v>
      </c>
      <c r="L63" t="n">
        <v>0</v>
      </c>
      <c r="M63" t="n">
        <v>0</v>
      </c>
      <c r="N63" t="n">
        <v>0</v>
      </c>
      <c r="O63" t="n">
        <v>1</v>
      </c>
      <c r="P63" t="n">
        <v>0</v>
      </c>
      <c r="Q63" t="n">
        <v>1</v>
      </c>
      <c r="R63" s="2" t="inlineStr">
        <is>
          <t>Svedjenäva</t>
        </is>
      </c>
      <c r="S63">
        <f>HYPERLINK("https://klasma.github.io/Logging_0483/artfynd/A 42745-2022 artfynd.xlsx", "A 42745-2022")</f>
        <v/>
      </c>
      <c r="T63">
        <f>HYPERLINK("https://klasma.github.io/Logging_0483/kartor/A 42745-2022 karta.png", "A 42745-2022")</f>
        <v/>
      </c>
      <c r="V63">
        <f>HYPERLINK("https://klasma.github.io/Logging_0483/klagomål/A 42745-2022 FSC-klagomål.docx", "A 42745-2022")</f>
        <v/>
      </c>
      <c r="W63">
        <f>HYPERLINK("https://klasma.github.io/Logging_0483/klagomålsmail/A 42745-2022 FSC-klagomål mail.docx", "A 42745-2022")</f>
        <v/>
      </c>
      <c r="X63">
        <f>HYPERLINK("https://klasma.github.io/Logging_0483/tillsyn/A 42745-2022 tillsynsbegäran.docx", "A 42745-2022")</f>
        <v/>
      </c>
      <c r="Y63">
        <f>HYPERLINK("https://klasma.github.io/Logging_0483/tillsynsmail/A 42745-2022 tillsynsbegäran mail.docx", "A 42745-2022")</f>
        <v/>
      </c>
    </row>
    <row r="64" ht="15" customHeight="1">
      <c r="A64" t="inlineStr">
        <is>
          <t>A 27376-2024</t>
        </is>
      </c>
      <c r="B64" s="1" t="n">
        <v>45473</v>
      </c>
      <c r="C64" s="1" t="n">
        <v>46192</v>
      </c>
      <c r="D64" t="inlineStr">
        <is>
          <t>SÖDERMANLANDS LÄN</t>
        </is>
      </c>
      <c r="E64" t="inlineStr">
        <is>
          <t>KATRINEHOLM</t>
        </is>
      </c>
      <c r="F64" t="inlineStr">
        <is>
          <t>Kommuner</t>
        </is>
      </c>
      <c r="G64" t="n">
        <v>2.8</v>
      </c>
      <c r="H64" t="n">
        <v>1</v>
      </c>
      <c r="I64" t="n">
        <v>0</v>
      </c>
      <c r="J64" t="n">
        <v>0</v>
      </c>
      <c r="K64" t="n">
        <v>0</v>
      </c>
      <c r="L64" t="n">
        <v>1</v>
      </c>
      <c r="M64" t="n">
        <v>0</v>
      </c>
      <c r="N64" t="n">
        <v>0</v>
      </c>
      <c r="O64" t="n">
        <v>1</v>
      </c>
      <c r="P64" t="n">
        <v>1</v>
      </c>
      <c r="Q64" t="n">
        <v>1</v>
      </c>
      <c r="R64" s="2" t="inlineStr">
        <is>
          <t>Bombmurkla</t>
        </is>
      </c>
      <c r="S64">
        <f>HYPERLINK("https://klasma.github.io/Logging_0483/artfynd/A 27376-2024 artfynd.xlsx", "A 27376-2024")</f>
        <v/>
      </c>
      <c r="T64">
        <f>HYPERLINK("https://klasma.github.io/Logging_0483/kartor/A 27376-2024 karta.png", "A 27376-2024")</f>
        <v/>
      </c>
      <c r="V64">
        <f>HYPERLINK("https://klasma.github.io/Logging_0483/klagomål/A 27376-2024 FSC-klagomål.docx", "A 27376-2024")</f>
        <v/>
      </c>
      <c r="W64">
        <f>HYPERLINK("https://klasma.github.io/Logging_0483/klagomålsmail/A 27376-2024 FSC-klagomål mail.docx", "A 27376-2024")</f>
        <v/>
      </c>
      <c r="X64">
        <f>HYPERLINK("https://klasma.github.io/Logging_0483/tillsyn/A 27376-2024 tillsynsbegäran.docx", "A 27376-2024")</f>
        <v/>
      </c>
      <c r="Y64">
        <f>HYPERLINK("https://klasma.github.io/Logging_0483/tillsynsmail/A 27376-2024 tillsynsbegäran mail.docx", "A 27376-2024")</f>
        <v/>
      </c>
    </row>
    <row r="65" ht="15" customHeight="1">
      <c r="A65" t="inlineStr">
        <is>
          <t>A 51848-2022</t>
        </is>
      </c>
      <c r="B65" s="1" t="n">
        <v>44872</v>
      </c>
      <c r="C65" s="1" t="n">
        <v>46192</v>
      </c>
      <c r="D65" t="inlineStr">
        <is>
          <t>SÖDERMANLANDS LÄN</t>
        </is>
      </c>
      <c r="E65" t="inlineStr">
        <is>
          <t>KATRINEHOLM</t>
        </is>
      </c>
      <c r="G65" t="n">
        <v>1.8</v>
      </c>
      <c r="H65" t="n">
        <v>0</v>
      </c>
      <c r="I65" t="n">
        <v>0</v>
      </c>
      <c r="J65" t="n">
        <v>1</v>
      </c>
      <c r="K65" t="n">
        <v>0</v>
      </c>
      <c r="L65" t="n">
        <v>0</v>
      </c>
      <c r="M65" t="n">
        <v>0</v>
      </c>
      <c r="N65" t="n">
        <v>0</v>
      </c>
      <c r="O65" t="n">
        <v>1</v>
      </c>
      <c r="P65" t="n">
        <v>0</v>
      </c>
      <c r="Q65" t="n">
        <v>1</v>
      </c>
      <c r="R65" s="2" t="inlineStr">
        <is>
          <t>Svinrot</t>
        </is>
      </c>
      <c r="S65">
        <f>HYPERLINK("https://klasma.github.io/Logging_0483/artfynd/A 51848-2022 artfynd.xlsx", "A 51848-2022")</f>
        <v/>
      </c>
      <c r="T65">
        <f>HYPERLINK("https://klasma.github.io/Logging_0483/kartor/A 51848-2022 karta.png", "A 51848-2022")</f>
        <v/>
      </c>
      <c r="V65">
        <f>HYPERLINK("https://klasma.github.io/Logging_0483/klagomål/A 51848-2022 FSC-klagomål.docx", "A 51848-2022")</f>
        <v/>
      </c>
      <c r="W65">
        <f>HYPERLINK("https://klasma.github.io/Logging_0483/klagomålsmail/A 51848-2022 FSC-klagomål mail.docx", "A 51848-2022")</f>
        <v/>
      </c>
      <c r="X65">
        <f>HYPERLINK("https://klasma.github.io/Logging_0483/tillsyn/A 51848-2022 tillsynsbegäran.docx", "A 51848-2022")</f>
        <v/>
      </c>
      <c r="Y65">
        <f>HYPERLINK("https://klasma.github.io/Logging_0483/tillsynsmail/A 51848-2022 tillsynsbegäran mail.docx", "A 51848-2022")</f>
        <v/>
      </c>
    </row>
    <row r="66" ht="15" customHeight="1">
      <c r="A66" t="inlineStr">
        <is>
          <t>A 56074-2022</t>
        </is>
      </c>
      <c r="B66" s="1" t="n">
        <v>44889</v>
      </c>
      <c r="C66" s="1" t="n">
        <v>46192</v>
      </c>
      <c r="D66" t="inlineStr">
        <is>
          <t>SÖDERMANLANDS LÄN</t>
        </is>
      </c>
      <c r="E66" t="inlineStr">
        <is>
          <t>KATRINEHOLM</t>
        </is>
      </c>
      <c r="G66" t="n">
        <v>12.5</v>
      </c>
      <c r="H66" t="n">
        <v>1</v>
      </c>
      <c r="I66" t="n">
        <v>0</v>
      </c>
      <c r="J66" t="n">
        <v>0</v>
      </c>
      <c r="K66" t="n">
        <v>0</v>
      </c>
      <c r="L66" t="n">
        <v>0</v>
      </c>
      <c r="M66" t="n">
        <v>0</v>
      </c>
      <c r="N66" t="n">
        <v>0</v>
      </c>
      <c r="O66" t="n">
        <v>0</v>
      </c>
      <c r="P66" t="n">
        <v>0</v>
      </c>
      <c r="Q66" t="n">
        <v>1</v>
      </c>
      <c r="R66" s="2" t="inlineStr">
        <is>
          <t>Revlummer</t>
        </is>
      </c>
      <c r="S66">
        <f>HYPERLINK("https://klasma.github.io/Logging_0483/artfynd/A 56074-2022 artfynd.xlsx", "A 56074-2022")</f>
        <v/>
      </c>
      <c r="T66">
        <f>HYPERLINK("https://klasma.github.io/Logging_0483/kartor/A 56074-2022 karta.png", "A 56074-2022")</f>
        <v/>
      </c>
      <c r="V66">
        <f>HYPERLINK("https://klasma.github.io/Logging_0483/klagomål/A 56074-2022 FSC-klagomål.docx", "A 56074-2022")</f>
        <v/>
      </c>
      <c r="W66">
        <f>HYPERLINK("https://klasma.github.io/Logging_0483/klagomålsmail/A 56074-2022 FSC-klagomål mail.docx", "A 56074-2022")</f>
        <v/>
      </c>
      <c r="X66">
        <f>HYPERLINK("https://klasma.github.io/Logging_0483/tillsyn/A 56074-2022 tillsynsbegäran.docx", "A 56074-2022")</f>
        <v/>
      </c>
      <c r="Y66">
        <f>HYPERLINK("https://klasma.github.io/Logging_0483/tillsynsmail/A 56074-2022 tillsynsbegäran mail.docx", "A 56074-2022")</f>
        <v/>
      </c>
    </row>
    <row r="67" ht="15" customHeight="1">
      <c r="A67" t="inlineStr">
        <is>
          <t>A 52658-2023</t>
        </is>
      </c>
      <c r="B67" s="1" t="n">
        <v>45225</v>
      </c>
      <c r="C67" s="1" t="n">
        <v>46192</v>
      </c>
      <c r="D67" t="inlineStr">
        <is>
          <t>SÖDERMANLANDS LÄN</t>
        </is>
      </c>
      <c r="E67" t="inlineStr">
        <is>
          <t>KATRINEHOLM</t>
        </is>
      </c>
      <c r="G67" t="n">
        <v>1.2</v>
      </c>
      <c r="H67" t="n">
        <v>1</v>
      </c>
      <c r="I67" t="n">
        <v>0</v>
      </c>
      <c r="J67" t="n">
        <v>0</v>
      </c>
      <c r="K67" t="n">
        <v>0</v>
      </c>
      <c r="L67" t="n">
        <v>0</v>
      </c>
      <c r="M67" t="n">
        <v>0</v>
      </c>
      <c r="N67" t="n">
        <v>0</v>
      </c>
      <c r="O67" t="n">
        <v>0</v>
      </c>
      <c r="P67" t="n">
        <v>0</v>
      </c>
      <c r="Q67" t="n">
        <v>1</v>
      </c>
      <c r="R67" s="2" t="inlineStr">
        <is>
          <t>Kungsfågel</t>
        </is>
      </c>
      <c r="S67">
        <f>HYPERLINK("https://klasma.github.io/Logging_0483/artfynd/A 52658-2023 artfynd.xlsx", "A 52658-2023")</f>
        <v/>
      </c>
      <c r="T67">
        <f>HYPERLINK("https://klasma.github.io/Logging_0483/kartor/A 52658-2023 karta.png", "A 52658-2023")</f>
        <v/>
      </c>
      <c r="V67">
        <f>HYPERLINK("https://klasma.github.io/Logging_0483/klagomål/A 52658-2023 FSC-klagomål.docx", "A 52658-2023")</f>
        <v/>
      </c>
      <c r="W67">
        <f>HYPERLINK("https://klasma.github.io/Logging_0483/klagomålsmail/A 52658-2023 FSC-klagomål mail.docx", "A 52658-2023")</f>
        <v/>
      </c>
      <c r="X67">
        <f>HYPERLINK("https://klasma.github.io/Logging_0483/tillsyn/A 52658-2023 tillsynsbegäran.docx", "A 52658-2023")</f>
        <v/>
      </c>
      <c r="Y67">
        <f>HYPERLINK("https://klasma.github.io/Logging_0483/tillsynsmail/A 52658-2023 tillsynsbegäran mail.docx", "A 52658-2023")</f>
        <v/>
      </c>
      <c r="Z67">
        <f>HYPERLINK("https://klasma.github.io/Logging_0483/fåglar/A 52658-2023 prioriterade fågelarter.docx", "A 52658-2023")</f>
        <v/>
      </c>
    </row>
    <row r="68" ht="15" customHeight="1">
      <c r="A68" t="inlineStr">
        <is>
          <t>A 63945-2025</t>
        </is>
      </c>
      <c r="B68" s="1" t="n">
        <v>46010</v>
      </c>
      <c r="C68" s="1" t="n">
        <v>46192</v>
      </c>
      <c r="D68" t="inlineStr">
        <is>
          <t>SÖDERMANLANDS LÄN</t>
        </is>
      </c>
      <c r="E68" t="inlineStr">
        <is>
          <t>KATRINEHOLM</t>
        </is>
      </c>
      <c r="F68" t="inlineStr">
        <is>
          <t>Allmännings- och besparingsskogar</t>
        </is>
      </c>
      <c r="G68" t="n">
        <v>1.2</v>
      </c>
      <c r="H68" t="n">
        <v>1</v>
      </c>
      <c r="I68" t="n">
        <v>0</v>
      </c>
      <c r="J68" t="n">
        <v>0</v>
      </c>
      <c r="K68" t="n">
        <v>0</v>
      </c>
      <c r="L68" t="n">
        <v>0</v>
      </c>
      <c r="M68" t="n">
        <v>0</v>
      </c>
      <c r="N68" t="n">
        <v>0</v>
      </c>
      <c r="O68" t="n">
        <v>0</v>
      </c>
      <c r="P68" t="n">
        <v>0</v>
      </c>
      <c r="Q68" t="n">
        <v>1</v>
      </c>
      <c r="R68" s="2" t="inlineStr">
        <is>
          <t>Tjäder</t>
        </is>
      </c>
      <c r="S68">
        <f>HYPERLINK("https://klasma.github.io/Logging_0483/artfynd/A 63945-2025 artfynd.xlsx", "A 63945-2025")</f>
        <v/>
      </c>
      <c r="T68">
        <f>HYPERLINK("https://klasma.github.io/Logging_0483/kartor/A 63945-2025 karta.png", "A 63945-2025")</f>
        <v/>
      </c>
      <c r="V68">
        <f>HYPERLINK("https://klasma.github.io/Logging_0483/klagomål/A 63945-2025 FSC-klagomål.docx", "A 63945-2025")</f>
        <v/>
      </c>
      <c r="W68">
        <f>HYPERLINK("https://klasma.github.io/Logging_0483/klagomålsmail/A 63945-2025 FSC-klagomål mail.docx", "A 63945-2025")</f>
        <v/>
      </c>
      <c r="X68">
        <f>HYPERLINK("https://klasma.github.io/Logging_0483/tillsyn/A 63945-2025 tillsynsbegäran.docx", "A 63945-2025")</f>
        <v/>
      </c>
      <c r="Y68">
        <f>HYPERLINK("https://klasma.github.io/Logging_0483/tillsynsmail/A 63945-2025 tillsynsbegäran mail.docx", "A 63945-2025")</f>
        <v/>
      </c>
      <c r="Z68">
        <f>HYPERLINK("https://klasma.github.io/Logging_0483/fåglar/A 63945-2025 prioriterade fågelarter.docx", "A 63945-2025")</f>
        <v/>
      </c>
    </row>
    <row r="69" ht="15" customHeight="1">
      <c r="A69" t="inlineStr">
        <is>
          <t>A 62957-2025</t>
        </is>
      </c>
      <c r="B69" s="1" t="n">
        <v>46009</v>
      </c>
      <c r="C69" s="1" t="n">
        <v>46192</v>
      </c>
      <c r="D69" t="inlineStr">
        <is>
          <t>SÖDERMANLANDS LÄN</t>
        </is>
      </c>
      <c r="E69" t="inlineStr">
        <is>
          <t>KATRINEHOLM</t>
        </is>
      </c>
      <c r="F69" t="inlineStr">
        <is>
          <t>Allmännings- och besparingsskogar</t>
        </is>
      </c>
      <c r="G69" t="n">
        <v>1.7</v>
      </c>
      <c r="H69" t="n">
        <v>1</v>
      </c>
      <c r="I69" t="n">
        <v>0</v>
      </c>
      <c r="J69" t="n">
        <v>0</v>
      </c>
      <c r="K69" t="n">
        <v>0</v>
      </c>
      <c r="L69" t="n">
        <v>0</v>
      </c>
      <c r="M69" t="n">
        <v>0</v>
      </c>
      <c r="N69" t="n">
        <v>0</v>
      </c>
      <c r="O69" t="n">
        <v>0</v>
      </c>
      <c r="P69" t="n">
        <v>0</v>
      </c>
      <c r="Q69" t="n">
        <v>1</v>
      </c>
      <c r="R69" s="2" t="inlineStr">
        <is>
          <t>Utter</t>
        </is>
      </c>
      <c r="S69">
        <f>HYPERLINK("https://klasma.github.io/Logging_0483/artfynd/A 62957-2025 artfynd.xlsx", "A 62957-2025")</f>
        <v/>
      </c>
      <c r="T69">
        <f>HYPERLINK("https://klasma.github.io/Logging_0483/kartor/A 62957-2025 karta.png", "A 62957-2025")</f>
        <v/>
      </c>
      <c r="V69">
        <f>HYPERLINK("https://klasma.github.io/Logging_0483/klagomål/A 62957-2025 FSC-klagomål.docx", "A 62957-2025")</f>
        <v/>
      </c>
      <c r="W69">
        <f>HYPERLINK("https://klasma.github.io/Logging_0483/klagomålsmail/A 62957-2025 FSC-klagomål mail.docx", "A 62957-2025")</f>
        <v/>
      </c>
      <c r="X69">
        <f>HYPERLINK("https://klasma.github.io/Logging_0483/tillsyn/A 62957-2025 tillsynsbegäran.docx", "A 62957-2025")</f>
        <v/>
      </c>
      <c r="Y69">
        <f>HYPERLINK("https://klasma.github.io/Logging_0483/tillsynsmail/A 62957-2025 tillsynsbegäran mail.docx", "A 62957-2025")</f>
        <v/>
      </c>
    </row>
    <row r="70" ht="15" customHeight="1">
      <c r="A70" t="inlineStr">
        <is>
          <t>A 12238-2023</t>
        </is>
      </c>
      <c r="B70" s="1" t="n">
        <v>44995</v>
      </c>
      <c r="C70" s="1" t="n">
        <v>46192</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53990-2023</t>
        </is>
      </c>
      <c r="B71" s="1" t="n">
        <v>45231</v>
      </c>
      <c r="C71" s="1" t="n">
        <v>46192</v>
      </c>
      <c r="D71" t="inlineStr">
        <is>
          <t>SÖDERMANLANDS LÄN</t>
        </is>
      </c>
      <c r="E71" t="inlineStr">
        <is>
          <t>KATRINEHOLM</t>
        </is>
      </c>
      <c r="G71" t="n">
        <v>6.1</v>
      </c>
      <c r="H71" t="n">
        <v>0</v>
      </c>
      <c r="I71" t="n">
        <v>0</v>
      </c>
      <c r="J71" t="n">
        <v>1</v>
      </c>
      <c r="K71" t="n">
        <v>0</v>
      </c>
      <c r="L71" t="n">
        <v>0</v>
      </c>
      <c r="M71" t="n">
        <v>0</v>
      </c>
      <c r="N71" t="n">
        <v>0</v>
      </c>
      <c r="O71" t="n">
        <v>1</v>
      </c>
      <c r="P71" t="n">
        <v>0</v>
      </c>
      <c r="Q71" t="n">
        <v>1</v>
      </c>
      <c r="R71" s="2" t="inlineStr">
        <is>
          <t>Motaggsvamp</t>
        </is>
      </c>
      <c r="S71">
        <f>HYPERLINK("https://klasma.github.io/Logging_0483/artfynd/A 53990-2023 artfynd.xlsx", "A 53990-2023")</f>
        <v/>
      </c>
      <c r="T71">
        <f>HYPERLINK("https://klasma.github.io/Logging_0483/kartor/A 53990-2023 karta.png", "A 53990-2023")</f>
        <v/>
      </c>
      <c r="V71">
        <f>HYPERLINK("https://klasma.github.io/Logging_0483/klagomål/A 53990-2023 FSC-klagomål.docx", "A 53990-2023")</f>
        <v/>
      </c>
      <c r="W71">
        <f>HYPERLINK("https://klasma.github.io/Logging_0483/klagomålsmail/A 53990-2023 FSC-klagomål mail.docx", "A 53990-2023")</f>
        <v/>
      </c>
      <c r="X71">
        <f>HYPERLINK("https://klasma.github.io/Logging_0483/tillsyn/A 53990-2023 tillsynsbegäran.docx", "A 53990-2023")</f>
        <v/>
      </c>
      <c r="Y71">
        <f>HYPERLINK("https://klasma.github.io/Logging_0483/tillsynsmail/A 53990-2023 tillsynsbegäran mail.docx", "A 53990-2023")</f>
        <v/>
      </c>
    </row>
    <row r="72" ht="15" customHeight="1">
      <c r="A72" t="inlineStr">
        <is>
          <t>A 11875-2023</t>
        </is>
      </c>
      <c r="B72" s="1" t="n">
        <v>44995</v>
      </c>
      <c r="C72" s="1" t="n">
        <v>46192</v>
      </c>
      <c r="D72" t="inlineStr">
        <is>
          <t>SÖDERMANLANDS LÄN</t>
        </is>
      </c>
      <c r="E72" t="inlineStr">
        <is>
          <t>KATRINEHOLM</t>
        </is>
      </c>
      <c r="F72" t="inlineStr">
        <is>
          <t>Kommuner</t>
        </is>
      </c>
      <c r="G72" t="n">
        <v>1.1</v>
      </c>
      <c r="H72" t="n">
        <v>0</v>
      </c>
      <c r="I72" t="n">
        <v>0</v>
      </c>
      <c r="J72" t="n">
        <v>1</v>
      </c>
      <c r="K72" t="n">
        <v>0</v>
      </c>
      <c r="L72" t="n">
        <v>0</v>
      </c>
      <c r="M72" t="n">
        <v>0</v>
      </c>
      <c r="N72" t="n">
        <v>0</v>
      </c>
      <c r="O72" t="n">
        <v>1</v>
      </c>
      <c r="P72" t="n">
        <v>0</v>
      </c>
      <c r="Q72" t="n">
        <v>1</v>
      </c>
      <c r="R72" s="2" t="inlineStr">
        <is>
          <t>Slåtterfibbla</t>
        </is>
      </c>
      <c r="S72">
        <f>HYPERLINK("https://klasma.github.io/Logging_0483/artfynd/A 11875-2023 artfynd.xlsx", "A 11875-2023")</f>
        <v/>
      </c>
      <c r="T72">
        <f>HYPERLINK("https://klasma.github.io/Logging_0483/kartor/A 11875-2023 karta.png", "A 11875-2023")</f>
        <v/>
      </c>
      <c r="V72">
        <f>HYPERLINK("https://klasma.github.io/Logging_0483/klagomål/A 11875-2023 FSC-klagomål.docx", "A 11875-2023")</f>
        <v/>
      </c>
      <c r="W72">
        <f>HYPERLINK("https://klasma.github.io/Logging_0483/klagomålsmail/A 11875-2023 FSC-klagomål mail.docx", "A 11875-2023")</f>
        <v/>
      </c>
      <c r="X72">
        <f>HYPERLINK("https://klasma.github.io/Logging_0483/tillsyn/A 11875-2023 tillsynsbegäran.docx", "A 11875-2023")</f>
        <v/>
      </c>
      <c r="Y72">
        <f>HYPERLINK("https://klasma.github.io/Logging_0483/tillsynsmail/A 11875-2023 tillsynsbegäran mail.docx", "A 11875-2023")</f>
        <v/>
      </c>
    </row>
    <row r="73" ht="15" customHeight="1">
      <c r="A73" t="inlineStr">
        <is>
          <t>A 6808-2023</t>
        </is>
      </c>
      <c r="B73" s="1" t="n">
        <v>44964</v>
      </c>
      <c r="C73" s="1" t="n">
        <v>46192</v>
      </c>
      <c r="D73" t="inlineStr">
        <is>
          <t>SÖDERMANLANDS LÄN</t>
        </is>
      </c>
      <c r="E73" t="inlineStr">
        <is>
          <t>KATRINEHOLM</t>
        </is>
      </c>
      <c r="G73" t="n">
        <v>1.5</v>
      </c>
      <c r="H73" t="n">
        <v>1</v>
      </c>
      <c r="I73" t="n">
        <v>0</v>
      </c>
      <c r="J73" t="n">
        <v>1</v>
      </c>
      <c r="K73" t="n">
        <v>0</v>
      </c>
      <c r="L73" t="n">
        <v>0</v>
      </c>
      <c r="M73" t="n">
        <v>0</v>
      </c>
      <c r="N73" t="n">
        <v>0</v>
      </c>
      <c r="O73" t="n">
        <v>1</v>
      </c>
      <c r="P73" t="n">
        <v>0</v>
      </c>
      <c r="Q73" t="n">
        <v>1</v>
      </c>
      <c r="R73" s="2" t="inlineStr">
        <is>
          <t>Grönsångare</t>
        </is>
      </c>
      <c r="S73">
        <f>HYPERLINK("https://klasma.github.io/Logging_0483/artfynd/A 6808-2023 artfynd.xlsx", "A 6808-2023")</f>
        <v/>
      </c>
      <c r="T73">
        <f>HYPERLINK("https://klasma.github.io/Logging_0483/kartor/A 6808-2023 karta.png", "A 6808-2023")</f>
        <v/>
      </c>
      <c r="V73">
        <f>HYPERLINK("https://klasma.github.io/Logging_0483/klagomål/A 6808-2023 FSC-klagomål.docx", "A 6808-2023")</f>
        <v/>
      </c>
      <c r="W73">
        <f>HYPERLINK("https://klasma.github.io/Logging_0483/klagomålsmail/A 6808-2023 FSC-klagomål mail.docx", "A 6808-2023")</f>
        <v/>
      </c>
      <c r="X73">
        <f>HYPERLINK("https://klasma.github.io/Logging_0483/tillsyn/A 6808-2023 tillsynsbegäran.docx", "A 6808-2023")</f>
        <v/>
      </c>
      <c r="Y73">
        <f>HYPERLINK("https://klasma.github.io/Logging_0483/tillsynsmail/A 6808-2023 tillsynsbegäran mail.docx", "A 6808-2023")</f>
        <v/>
      </c>
      <c r="Z73">
        <f>HYPERLINK("https://klasma.github.io/Logging_0483/fåglar/A 6808-2023 prioriterade fågelarter.docx", "A 6808-2023")</f>
        <v/>
      </c>
    </row>
    <row r="74" ht="15" customHeight="1">
      <c r="A74" t="inlineStr">
        <is>
          <t>A 53750-2022</t>
        </is>
      </c>
      <c r="B74" s="1" t="n">
        <v>44875</v>
      </c>
      <c r="C74" s="1" t="n">
        <v>46192</v>
      </c>
      <c r="D74" t="inlineStr">
        <is>
          <t>SÖDERMANLANDS LÄN</t>
        </is>
      </c>
      <c r="E74" t="inlineStr">
        <is>
          <t>KATRINEHOLM</t>
        </is>
      </c>
      <c r="F74" t="inlineStr">
        <is>
          <t>Övriga Aktiebolag</t>
        </is>
      </c>
      <c r="G74" t="n">
        <v>12.6</v>
      </c>
      <c r="H74" t="n">
        <v>1</v>
      </c>
      <c r="I74" t="n">
        <v>0</v>
      </c>
      <c r="J74" t="n">
        <v>0</v>
      </c>
      <c r="K74" t="n">
        <v>0</v>
      </c>
      <c r="L74" t="n">
        <v>0</v>
      </c>
      <c r="M74" t="n">
        <v>0</v>
      </c>
      <c r="N74" t="n">
        <v>0</v>
      </c>
      <c r="O74" t="n">
        <v>0</v>
      </c>
      <c r="P74" t="n">
        <v>0</v>
      </c>
      <c r="Q74" t="n">
        <v>1</v>
      </c>
      <c r="R74" s="2" t="inlineStr">
        <is>
          <t>Kungsfågel</t>
        </is>
      </c>
      <c r="S74">
        <f>HYPERLINK("https://klasma.github.io/Logging_0483/artfynd/A 53750-2022 artfynd.xlsx", "A 53750-2022")</f>
        <v/>
      </c>
      <c r="T74">
        <f>HYPERLINK("https://klasma.github.io/Logging_0483/kartor/A 53750-2022 karta.png", "A 53750-2022")</f>
        <v/>
      </c>
      <c r="V74">
        <f>HYPERLINK("https://klasma.github.io/Logging_0483/klagomål/A 53750-2022 FSC-klagomål.docx", "A 53750-2022")</f>
        <v/>
      </c>
      <c r="W74">
        <f>HYPERLINK("https://klasma.github.io/Logging_0483/klagomålsmail/A 53750-2022 FSC-klagomål mail.docx", "A 53750-2022")</f>
        <v/>
      </c>
      <c r="X74">
        <f>HYPERLINK("https://klasma.github.io/Logging_0483/tillsyn/A 53750-2022 tillsynsbegäran.docx", "A 53750-2022")</f>
        <v/>
      </c>
      <c r="Y74">
        <f>HYPERLINK("https://klasma.github.io/Logging_0483/tillsynsmail/A 53750-2022 tillsynsbegäran mail.docx", "A 53750-2022")</f>
        <v/>
      </c>
      <c r="Z74">
        <f>HYPERLINK("https://klasma.github.io/Logging_0483/fåglar/A 53750-2022 prioriterade fågelarter.docx", "A 53750-2022")</f>
        <v/>
      </c>
    </row>
    <row r="75" ht="15" customHeight="1">
      <c r="A75" t="inlineStr">
        <is>
          <t>A 3980-2024</t>
        </is>
      </c>
      <c r="B75" s="1" t="n">
        <v>45322</v>
      </c>
      <c r="C75" s="1" t="n">
        <v>46192</v>
      </c>
      <c r="D75" t="inlineStr">
        <is>
          <t>SÖDERMANLANDS LÄN</t>
        </is>
      </c>
      <c r="E75" t="inlineStr">
        <is>
          <t>KATRINEHOLM</t>
        </is>
      </c>
      <c r="G75" t="n">
        <v>0.4</v>
      </c>
      <c r="H75" t="n">
        <v>0</v>
      </c>
      <c r="I75" t="n">
        <v>0</v>
      </c>
      <c r="J75" t="n">
        <v>1</v>
      </c>
      <c r="K75" t="n">
        <v>0</v>
      </c>
      <c r="L75" t="n">
        <v>0</v>
      </c>
      <c r="M75" t="n">
        <v>0</v>
      </c>
      <c r="N75" t="n">
        <v>0</v>
      </c>
      <c r="O75" t="n">
        <v>1</v>
      </c>
      <c r="P75" t="n">
        <v>0</v>
      </c>
      <c r="Q75" t="n">
        <v>1</v>
      </c>
      <c r="R75" s="2" t="inlineStr">
        <is>
          <t>Orange taggsvamp</t>
        </is>
      </c>
      <c r="S75">
        <f>HYPERLINK("https://klasma.github.io/Logging_0483/artfynd/A 3980-2024 artfynd.xlsx", "A 3980-2024")</f>
        <v/>
      </c>
      <c r="T75">
        <f>HYPERLINK("https://klasma.github.io/Logging_0483/kartor/A 3980-2024 karta.png", "A 3980-2024")</f>
        <v/>
      </c>
      <c r="V75">
        <f>HYPERLINK("https://klasma.github.io/Logging_0483/klagomål/A 3980-2024 FSC-klagomål.docx", "A 3980-2024")</f>
        <v/>
      </c>
      <c r="W75">
        <f>HYPERLINK("https://klasma.github.io/Logging_0483/klagomålsmail/A 3980-2024 FSC-klagomål mail.docx", "A 3980-2024")</f>
        <v/>
      </c>
      <c r="X75">
        <f>HYPERLINK("https://klasma.github.io/Logging_0483/tillsyn/A 3980-2024 tillsynsbegäran.docx", "A 3980-2024")</f>
        <v/>
      </c>
      <c r="Y75">
        <f>HYPERLINK("https://klasma.github.io/Logging_0483/tillsynsmail/A 3980-2024 tillsynsbegäran mail.docx", "A 3980-2024")</f>
        <v/>
      </c>
    </row>
    <row r="76" ht="15" customHeight="1">
      <c r="A76" t="inlineStr">
        <is>
          <t>A 1091-2025</t>
        </is>
      </c>
      <c r="B76" s="1" t="n">
        <v>45666</v>
      </c>
      <c r="C76" s="1" t="n">
        <v>46192</v>
      </c>
      <c r="D76" t="inlineStr">
        <is>
          <t>SÖDERMANLANDS LÄN</t>
        </is>
      </c>
      <c r="E76" t="inlineStr">
        <is>
          <t>KATRINEHOLM</t>
        </is>
      </c>
      <c r="F76" t="inlineStr">
        <is>
          <t>Övriga Aktiebolag</t>
        </is>
      </c>
      <c r="G76" t="n">
        <v>0.8</v>
      </c>
      <c r="H76" t="n">
        <v>0</v>
      </c>
      <c r="I76" t="n">
        <v>0</v>
      </c>
      <c r="J76" t="n">
        <v>1</v>
      </c>
      <c r="K76" t="n">
        <v>0</v>
      </c>
      <c r="L76" t="n">
        <v>0</v>
      </c>
      <c r="M76" t="n">
        <v>0</v>
      </c>
      <c r="N76" t="n">
        <v>0</v>
      </c>
      <c r="O76" t="n">
        <v>1</v>
      </c>
      <c r="P76" t="n">
        <v>0</v>
      </c>
      <c r="Q76" t="n">
        <v>1</v>
      </c>
      <c r="R76" s="2" t="inlineStr">
        <is>
          <t>Fjällig taggsvamp s.str.</t>
        </is>
      </c>
      <c r="S76">
        <f>HYPERLINK("https://klasma.github.io/Logging_0483/artfynd/A 1091-2025 artfynd.xlsx", "A 1091-2025")</f>
        <v/>
      </c>
      <c r="T76">
        <f>HYPERLINK("https://klasma.github.io/Logging_0483/kartor/A 1091-2025 karta.png", "A 1091-2025")</f>
        <v/>
      </c>
      <c r="V76">
        <f>HYPERLINK("https://klasma.github.io/Logging_0483/klagomål/A 1091-2025 FSC-klagomål.docx", "A 1091-2025")</f>
        <v/>
      </c>
      <c r="W76">
        <f>HYPERLINK("https://klasma.github.io/Logging_0483/klagomålsmail/A 1091-2025 FSC-klagomål mail.docx", "A 1091-2025")</f>
        <v/>
      </c>
      <c r="X76">
        <f>HYPERLINK("https://klasma.github.io/Logging_0483/tillsyn/A 1091-2025 tillsynsbegäran.docx", "A 1091-2025")</f>
        <v/>
      </c>
      <c r="Y76">
        <f>HYPERLINK("https://klasma.github.io/Logging_0483/tillsynsmail/A 1091-2025 tillsynsbegäran mail.docx", "A 1091-2025")</f>
        <v/>
      </c>
    </row>
    <row r="77" ht="15" customHeight="1">
      <c r="A77" t="inlineStr">
        <is>
          <t>A 33801-2023</t>
        </is>
      </c>
      <c r="B77" s="1" t="n">
        <v>45133</v>
      </c>
      <c r="C77" s="1" t="n">
        <v>46192</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13848-2026</t>
        </is>
      </c>
      <c r="B78" s="1" t="n">
        <v>46098</v>
      </c>
      <c r="C78" s="1" t="n">
        <v>46192</v>
      </c>
      <c r="D78" t="inlineStr">
        <is>
          <t>SÖDERMANLANDS LÄN</t>
        </is>
      </c>
      <c r="E78" t="inlineStr">
        <is>
          <t>KATRINEHOLM</t>
        </is>
      </c>
      <c r="G78" t="n">
        <v>3.1</v>
      </c>
      <c r="H78" t="n">
        <v>1</v>
      </c>
      <c r="I78" t="n">
        <v>0</v>
      </c>
      <c r="J78" t="n">
        <v>0</v>
      </c>
      <c r="K78" t="n">
        <v>0</v>
      </c>
      <c r="L78" t="n">
        <v>0</v>
      </c>
      <c r="M78" t="n">
        <v>0</v>
      </c>
      <c r="N78" t="n">
        <v>0</v>
      </c>
      <c r="O78" t="n">
        <v>0</v>
      </c>
      <c r="P78" t="n">
        <v>0</v>
      </c>
      <c r="Q78" t="n">
        <v>1</v>
      </c>
      <c r="R78" s="2" t="inlineStr">
        <is>
          <t>Gröngöling</t>
        </is>
      </c>
      <c r="S78">
        <f>HYPERLINK("https://klasma.github.io/Logging_0483/artfynd/A 13848-2026 artfynd.xlsx", "A 13848-2026")</f>
        <v/>
      </c>
      <c r="T78">
        <f>HYPERLINK("https://klasma.github.io/Logging_0483/kartor/A 13848-2026 karta.png", "A 13848-2026")</f>
        <v/>
      </c>
      <c r="V78">
        <f>HYPERLINK("https://klasma.github.io/Logging_0483/klagomål/A 13848-2026 FSC-klagomål.docx", "A 13848-2026")</f>
        <v/>
      </c>
      <c r="W78">
        <f>HYPERLINK("https://klasma.github.io/Logging_0483/klagomålsmail/A 13848-2026 FSC-klagomål mail.docx", "A 13848-2026")</f>
        <v/>
      </c>
      <c r="X78">
        <f>HYPERLINK("https://klasma.github.io/Logging_0483/tillsyn/A 13848-2026 tillsynsbegäran.docx", "A 13848-2026")</f>
        <v/>
      </c>
      <c r="Y78">
        <f>HYPERLINK("https://klasma.github.io/Logging_0483/tillsynsmail/A 13848-2026 tillsynsbegäran mail.docx", "A 13848-2026")</f>
        <v/>
      </c>
      <c r="Z78">
        <f>HYPERLINK("https://klasma.github.io/Logging_0483/fåglar/A 13848-2026 prioriterade fågelarter.docx", "A 13848-2026")</f>
        <v/>
      </c>
    </row>
    <row r="79" ht="15" customHeight="1">
      <c r="A79" t="inlineStr">
        <is>
          <t>A 48253-2022</t>
        </is>
      </c>
      <c r="B79" s="1" t="n">
        <v>44858</v>
      </c>
      <c r="C79" s="1" t="n">
        <v>46192</v>
      </c>
      <c r="D79" t="inlineStr">
        <is>
          <t>SÖDERMANLANDS LÄN</t>
        </is>
      </c>
      <c r="E79" t="inlineStr">
        <is>
          <t>KATRINEHOLM</t>
        </is>
      </c>
      <c r="G79" t="n">
        <v>4.7</v>
      </c>
      <c r="H79" t="n">
        <v>1</v>
      </c>
      <c r="I79" t="n">
        <v>0</v>
      </c>
      <c r="J79" t="n">
        <v>0</v>
      </c>
      <c r="K79" t="n">
        <v>0</v>
      </c>
      <c r="L79" t="n">
        <v>0</v>
      </c>
      <c r="M79" t="n">
        <v>0</v>
      </c>
      <c r="N79" t="n">
        <v>0</v>
      </c>
      <c r="O79" t="n">
        <v>0</v>
      </c>
      <c r="P79" t="n">
        <v>0</v>
      </c>
      <c r="Q79" t="n">
        <v>1</v>
      </c>
      <c r="R79" s="2" t="inlineStr">
        <is>
          <t>Spillkråka</t>
        </is>
      </c>
      <c r="S79">
        <f>HYPERLINK("https://klasma.github.io/Logging_0483/artfynd/A 48253-2022 artfynd.xlsx", "A 48253-2022")</f>
        <v/>
      </c>
      <c r="T79">
        <f>HYPERLINK("https://klasma.github.io/Logging_0483/kartor/A 48253-2022 karta.png", "A 48253-2022")</f>
        <v/>
      </c>
      <c r="V79">
        <f>HYPERLINK("https://klasma.github.io/Logging_0483/klagomål/A 48253-2022 FSC-klagomål.docx", "A 48253-2022")</f>
        <v/>
      </c>
      <c r="W79">
        <f>HYPERLINK("https://klasma.github.io/Logging_0483/klagomålsmail/A 48253-2022 FSC-klagomål mail.docx", "A 48253-2022")</f>
        <v/>
      </c>
      <c r="X79">
        <f>HYPERLINK("https://klasma.github.io/Logging_0483/tillsyn/A 48253-2022 tillsynsbegäran.docx", "A 48253-2022")</f>
        <v/>
      </c>
      <c r="Y79">
        <f>HYPERLINK("https://klasma.github.io/Logging_0483/tillsynsmail/A 48253-2022 tillsynsbegäran mail.docx", "A 48253-2022")</f>
        <v/>
      </c>
      <c r="Z79">
        <f>HYPERLINK("https://klasma.github.io/Logging_0483/fåglar/A 48253-2022 prioriterade fågelarter.docx", "A 48253-2022")</f>
        <v/>
      </c>
    </row>
    <row r="80" ht="15" customHeight="1">
      <c r="A80" t="inlineStr">
        <is>
          <t>A 44413-2024</t>
        </is>
      </c>
      <c r="B80" s="1" t="n">
        <v>45573</v>
      </c>
      <c r="C80" s="1" t="n">
        <v>46192</v>
      </c>
      <c r="D80" t="inlineStr">
        <is>
          <t>SÖDERMANLANDS LÄN</t>
        </is>
      </c>
      <c r="E80" t="inlineStr">
        <is>
          <t>KATRINEHOLM</t>
        </is>
      </c>
      <c r="G80" t="n">
        <v>0.7</v>
      </c>
      <c r="H80" t="n">
        <v>1</v>
      </c>
      <c r="I80" t="n">
        <v>0</v>
      </c>
      <c r="J80" t="n">
        <v>0</v>
      </c>
      <c r="K80" t="n">
        <v>1</v>
      </c>
      <c r="L80" t="n">
        <v>0</v>
      </c>
      <c r="M80" t="n">
        <v>0</v>
      </c>
      <c r="N80" t="n">
        <v>0</v>
      </c>
      <c r="O80" t="n">
        <v>1</v>
      </c>
      <c r="P80" t="n">
        <v>1</v>
      </c>
      <c r="Q80" t="n">
        <v>1</v>
      </c>
      <c r="R80" s="2" t="inlineStr">
        <is>
          <t>Knärot</t>
        </is>
      </c>
      <c r="S80">
        <f>HYPERLINK("https://klasma.github.io/Logging_0483/artfynd/A 44413-2024 artfynd.xlsx", "A 44413-2024")</f>
        <v/>
      </c>
      <c r="T80">
        <f>HYPERLINK("https://klasma.github.io/Logging_0483/kartor/A 44413-2024 karta.png", "A 44413-2024")</f>
        <v/>
      </c>
      <c r="U80">
        <f>HYPERLINK("https://klasma.github.io/Logging_0483/knärot/A 44413-2024 karta knärot.png", "A 44413-2024")</f>
        <v/>
      </c>
      <c r="V80">
        <f>HYPERLINK("https://klasma.github.io/Logging_0483/klagomål/A 44413-2024 FSC-klagomål.docx", "A 44413-2024")</f>
        <v/>
      </c>
      <c r="W80">
        <f>HYPERLINK("https://klasma.github.io/Logging_0483/klagomålsmail/A 44413-2024 FSC-klagomål mail.docx", "A 44413-2024")</f>
        <v/>
      </c>
      <c r="X80">
        <f>HYPERLINK("https://klasma.github.io/Logging_0483/tillsyn/A 44413-2024 tillsynsbegäran.docx", "A 44413-2024")</f>
        <v/>
      </c>
      <c r="Y80">
        <f>HYPERLINK("https://klasma.github.io/Logging_0483/tillsynsmail/A 44413-2024 tillsynsbegäran mail.docx", "A 44413-2024")</f>
        <v/>
      </c>
    </row>
    <row r="81" ht="15" customHeight="1">
      <c r="A81" t="inlineStr">
        <is>
          <t>A 23077-2026</t>
        </is>
      </c>
      <c r="B81" s="1" t="n">
        <v>46161</v>
      </c>
      <c r="C81" s="1" t="n">
        <v>46192</v>
      </c>
      <c r="D81" t="inlineStr">
        <is>
          <t>SÖDERMANLANDS LÄN</t>
        </is>
      </c>
      <c r="E81" t="inlineStr">
        <is>
          <t>KATRINEHOLM</t>
        </is>
      </c>
      <c r="F81" t="inlineStr">
        <is>
          <t>Kommuner</t>
        </is>
      </c>
      <c r="G81" t="n">
        <v>1.3</v>
      </c>
      <c r="H81" t="n">
        <v>0</v>
      </c>
      <c r="I81" t="n">
        <v>0</v>
      </c>
      <c r="J81" t="n">
        <v>1</v>
      </c>
      <c r="K81" t="n">
        <v>0</v>
      </c>
      <c r="L81" t="n">
        <v>0</v>
      </c>
      <c r="M81" t="n">
        <v>0</v>
      </c>
      <c r="N81" t="n">
        <v>0</v>
      </c>
      <c r="O81" t="n">
        <v>1</v>
      </c>
      <c r="P81" t="n">
        <v>0</v>
      </c>
      <c r="Q81" t="n">
        <v>1</v>
      </c>
      <c r="R81" s="2" t="inlineStr">
        <is>
          <t>Svart skogssnigel</t>
        </is>
      </c>
      <c r="S81">
        <f>HYPERLINK("https://klasma.github.io/Logging_0483/artfynd/A 23077-2026 artfynd.xlsx", "A 23077-2026")</f>
        <v/>
      </c>
      <c r="T81">
        <f>HYPERLINK("https://klasma.github.io/Logging_0483/kartor/A 23077-2026 karta.png", "A 23077-2026")</f>
        <v/>
      </c>
      <c r="V81">
        <f>HYPERLINK("https://klasma.github.io/Logging_0483/klagomål/A 23077-2026 FSC-klagomål.docx", "A 23077-2026")</f>
        <v/>
      </c>
      <c r="W81">
        <f>HYPERLINK("https://klasma.github.io/Logging_0483/klagomålsmail/A 23077-2026 FSC-klagomål mail.docx", "A 23077-2026")</f>
        <v/>
      </c>
      <c r="X81">
        <f>HYPERLINK("https://klasma.github.io/Logging_0483/tillsyn/A 23077-2026 tillsynsbegäran.docx", "A 23077-2026")</f>
        <v/>
      </c>
      <c r="Y81">
        <f>HYPERLINK("https://klasma.github.io/Logging_0483/tillsynsmail/A 23077-2026 tillsynsbegäran mail.docx", "A 23077-2026")</f>
        <v/>
      </c>
    </row>
    <row r="82" ht="15" customHeight="1">
      <c r="A82" t="inlineStr">
        <is>
          <t>A 57519-2021</t>
        </is>
      </c>
      <c r="B82" s="1" t="n">
        <v>44483</v>
      </c>
      <c r="C82" s="1" t="n">
        <v>46192</v>
      </c>
      <c r="D82" t="inlineStr">
        <is>
          <t>SÖDERMANLANDS LÄN</t>
        </is>
      </c>
      <c r="E82" t="inlineStr">
        <is>
          <t>KATRINEHOLM</t>
        </is>
      </c>
      <c r="G82" t="n">
        <v>0.7</v>
      </c>
      <c r="H82" t="n">
        <v>1</v>
      </c>
      <c r="I82" t="n">
        <v>0</v>
      </c>
      <c r="J82" t="n">
        <v>0</v>
      </c>
      <c r="K82" t="n">
        <v>0</v>
      </c>
      <c r="L82" t="n">
        <v>0</v>
      </c>
      <c r="M82" t="n">
        <v>0</v>
      </c>
      <c r="N82" t="n">
        <v>0</v>
      </c>
      <c r="O82" t="n">
        <v>0</v>
      </c>
      <c r="P82" t="n">
        <v>0</v>
      </c>
      <c r="Q82" t="n">
        <v>1</v>
      </c>
      <c r="R82" s="2" t="inlineStr">
        <is>
          <t>Blåsippa</t>
        </is>
      </c>
      <c r="S82">
        <f>HYPERLINK("https://klasma.github.io/Logging_0483/artfynd/A 57519-2021 artfynd.xlsx", "A 57519-2021")</f>
        <v/>
      </c>
      <c r="T82">
        <f>HYPERLINK("https://klasma.github.io/Logging_0483/kartor/A 57519-2021 karta.png", "A 57519-2021")</f>
        <v/>
      </c>
      <c r="V82">
        <f>HYPERLINK("https://klasma.github.io/Logging_0483/klagomål/A 57519-2021 FSC-klagomål.docx", "A 57519-2021")</f>
        <v/>
      </c>
      <c r="W82">
        <f>HYPERLINK("https://klasma.github.io/Logging_0483/klagomålsmail/A 57519-2021 FSC-klagomål mail.docx", "A 57519-2021")</f>
        <v/>
      </c>
      <c r="X82">
        <f>HYPERLINK("https://klasma.github.io/Logging_0483/tillsyn/A 57519-2021 tillsynsbegäran.docx", "A 57519-2021")</f>
        <v/>
      </c>
      <c r="Y82">
        <f>HYPERLINK("https://klasma.github.io/Logging_0483/tillsynsmail/A 57519-2021 tillsynsbegäran mail.docx", "A 57519-2021")</f>
        <v/>
      </c>
    </row>
    <row r="83" ht="15" customHeight="1">
      <c r="A83" t="inlineStr">
        <is>
          <t>A 35152-2025</t>
        </is>
      </c>
      <c r="B83" s="1" t="n">
        <v>45852</v>
      </c>
      <c r="C83" s="1" t="n">
        <v>46192</v>
      </c>
      <c r="D83" t="inlineStr">
        <is>
          <t>SÖDERMANLANDS LÄN</t>
        </is>
      </c>
      <c r="E83" t="inlineStr">
        <is>
          <t>KATRINEHOLM</t>
        </is>
      </c>
      <c r="G83" t="n">
        <v>4.6</v>
      </c>
      <c r="H83" t="n">
        <v>0</v>
      </c>
      <c r="I83" t="n">
        <v>0</v>
      </c>
      <c r="J83" t="n">
        <v>0</v>
      </c>
      <c r="K83" t="n">
        <v>1</v>
      </c>
      <c r="L83" t="n">
        <v>0</v>
      </c>
      <c r="M83" t="n">
        <v>0</v>
      </c>
      <c r="N83" t="n">
        <v>0</v>
      </c>
      <c r="O83" t="n">
        <v>1</v>
      </c>
      <c r="P83" t="n">
        <v>1</v>
      </c>
      <c r="Q83" t="n">
        <v>1</v>
      </c>
      <c r="R83" s="2" t="inlineStr">
        <is>
          <t>Kopparspindling</t>
        </is>
      </c>
      <c r="S83">
        <f>HYPERLINK("https://klasma.github.io/Logging_0483/artfynd/A 35152-2025 artfynd.xlsx", "A 35152-2025")</f>
        <v/>
      </c>
      <c r="T83">
        <f>HYPERLINK("https://klasma.github.io/Logging_0483/kartor/A 35152-2025 karta.png", "A 35152-2025")</f>
        <v/>
      </c>
      <c r="V83">
        <f>HYPERLINK("https://klasma.github.io/Logging_0483/klagomål/A 35152-2025 FSC-klagomål.docx", "A 35152-2025")</f>
        <v/>
      </c>
      <c r="W83">
        <f>HYPERLINK("https://klasma.github.io/Logging_0483/klagomålsmail/A 35152-2025 FSC-klagomål mail.docx", "A 35152-2025")</f>
        <v/>
      </c>
      <c r="X83">
        <f>HYPERLINK("https://klasma.github.io/Logging_0483/tillsyn/A 35152-2025 tillsynsbegäran.docx", "A 35152-2025")</f>
        <v/>
      </c>
      <c r="Y83">
        <f>HYPERLINK("https://klasma.github.io/Logging_0483/tillsynsmail/A 35152-2025 tillsynsbegäran mail.docx", "A 35152-2025")</f>
        <v/>
      </c>
    </row>
    <row r="84" ht="15" customHeight="1">
      <c r="A84" t="inlineStr">
        <is>
          <t>A 35163-2025</t>
        </is>
      </c>
      <c r="B84" s="1" t="n">
        <v>45852</v>
      </c>
      <c r="C84" s="1" t="n">
        <v>46192</v>
      </c>
      <c r="D84" t="inlineStr">
        <is>
          <t>SÖDERMANLANDS LÄN</t>
        </is>
      </c>
      <c r="E84" t="inlineStr">
        <is>
          <t>KATRINEHOLM</t>
        </is>
      </c>
      <c r="F84" t="inlineStr">
        <is>
          <t>Övriga Aktiebolag</t>
        </is>
      </c>
      <c r="G84" t="n">
        <v>1.1</v>
      </c>
      <c r="H84" t="n">
        <v>0</v>
      </c>
      <c r="I84" t="n">
        <v>0</v>
      </c>
      <c r="J84" t="n">
        <v>1</v>
      </c>
      <c r="K84" t="n">
        <v>0</v>
      </c>
      <c r="L84" t="n">
        <v>0</v>
      </c>
      <c r="M84" t="n">
        <v>0</v>
      </c>
      <c r="N84" t="n">
        <v>0</v>
      </c>
      <c r="O84" t="n">
        <v>1</v>
      </c>
      <c r="P84" t="n">
        <v>0</v>
      </c>
      <c r="Q84" t="n">
        <v>1</v>
      </c>
      <c r="R84" s="2" t="inlineStr">
        <is>
          <t>Kattfotslav</t>
        </is>
      </c>
      <c r="S84">
        <f>HYPERLINK("https://klasma.github.io/Logging_0483/artfynd/A 35163-2025 artfynd.xlsx", "A 35163-2025")</f>
        <v/>
      </c>
      <c r="T84">
        <f>HYPERLINK("https://klasma.github.io/Logging_0483/kartor/A 35163-2025 karta.png", "A 35163-2025")</f>
        <v/>
      </c>
      <c r="V84">
        <f>HYPERLINK("https://klasma.github.io/Logging_0483/klagomål/A 35163-2025 FSC-klagomål.docx", "A 35163-2025")</f>
        <v/>
      </c>
      <c r="W84">
        <f>HYPERLINK("https://klasma.github.io/Logging_0483/klagomålsmail/A 35163-2025 FSC-klagomål mail.docx", "A 35163-2025")</f>
        <v/>
      </c>
      <c r="X84">
        <f>HYPERLINK("https://klasma.github.io/Logging_0483/tillsyn/A 35163-2025 tillsynsbegäran.docx", "A 35163-2025")</f>
        <v/>
      </c>
      <c r="Y84">
        <f>HYPERLINK("https://klasma.github.io/Logging_0483/tillsynsmail/A 35163-2025 tillsynsbegäran mail.docx", "A 35163-2025")</f>
        <v/>
      </c>
    </row>
    <row r="85" ht="15" customHeight="1">
      <c r="A85" t="inlineStr">
        <is>
          <t>A 64713-2023</t>
        </is>
      </c>
      <c r="B85" s="1" t="n">
        <v>45281</v>
      </c>
      <c r="C85" s="1" t="n">
        <v>46192</v>
      </c>
      <c r="D85" t="inlineStr">
        <is>
          <t>SÖDERMANLANDS LÄN</t>
        </is>
      </c>
      <c r="E85" t="inlineStr">
        <is>
          <t>KATRINEHOLM</t>
        </is>
      </c>
      <c r="G85" t="n">
        <v>4.9</v>
      </c>
      <c r="H85" t="n">
        <v>1</v>
      </c>
      <c r="I85" t="n">
        <v>0</v>
      </c>
      <c r="J85" t="n">
        <v>0</v>
      </c>
      <c r="K85" t="n">
        <v>0</v>
      </c>
      <c r="L85" t="n">
        <v>0</v>
      </c>
      <c r="M85" t="n">
        <v>0</v>
      </c>
      <c r="N85" t="n">
        <v>0</v>
      </c>
      <c r="O85" t="n">
        <v>0</v>
      </c>
      <c r="P85" t="n">
        <v>0</v>
      </c>
      <c r="Q85" t="n">
        <v>1</v>
      </c>
      <c r="R85" s="2" t="inlineStr">
        <is>
          <t>Gröngöling</t>
        </is>
      </c>
      <c r="S85">
        <f>HYPERLINK("https://klasma.github.io/Logging_0483/artfynd/A 64713-2023 artfynd.xlsx", "A 64713-2023")</f>
        <v/>
      </c>
      <c r="T85">
        <f>HYPERLINK("https://klasma.github.io/Logging_0483/kartor/A 64713-2023 karta.png", "A 64713-2023")</f>
        <v/>
      </c>
      <c r="V85">
        <f>HYPERLINK("https://klasma.github.io/Logging_0483/klagomål/A 64713-2023 FSC-klagomål.docx", "A 64713-2023")</f>
        <v/>
      </c>
      <c r="W85">
        <f>HYPERLINK("https://klasma.github.io/Logging_0483/klagomålsmail/A 64713-2023 FSC-klagomål mail.docx", "A 64713-2023")</f>
        <v/>
      </c>
      <c r="X85">
        <f>HYPERLINK("https://klasma.github.io/Logging_0483/tillsyn/A 64713-2023 tillsynsbegäran.docx", "A 64713-2023")</f>
        <v/>
      </c>
      <c r="Y85">
        <f>HYPERLINK("https://klasma.github.io/Logging_0483/tillsynsmail/A 64713-2023 tillsynsbegäran mail.docx", "A 64713-2023")</f>
        <v/>
      </c>
      <c r="Z85">
        <f>HYPERLINK("https://klasma.github.io/Logging_0483/fåglar/A 64713-2023 prioriterade fågelarter.docx", "A 64713-2023")</f>
        <v/>
      </c>
    </row>
    <row r="86" ht="15" customHeight="1">
      <c r="A86" t="inlineStr">
        <is>
          <t>A 44486-2023</t>
        </is>
      </c>
      <c r="B86" s="1" t="n">
        <v>45183</v>
      </c>
      <c r="C86" s="1" t="n">
        <v>46192</v>
      </c>
      <c r="D86" t="inlineStr">
        <is>
          <t>SÖDERMANLANDS LÄN</t>
        </is>
      </c>
      <c r="E86" t="inlineStr">
        <is>
          <t>KATRINEHOLM</t>
        </is>
      </c>
      <c r="G86" t="n">
        <v>1.7</v>
      </c>
      <c r="H86" t="n">
        <v>0</v>
      </c>
      <c r="I86" t="n">
        <v>0</v>
      </c>
      <c r="J86" t="n">
        <v>1</v>
      </c>
      <c r="K86" t="n">
        <v>0</v>
      </c>
      <c r="L86" t="n">
        <v>0</v>
      </c>
      <c r="M86" t="n">
        <v>0</v>
      </c>
      <c r="N86" t="n">
        <v>0</v>
      </c>
      <c r="O86" t="n">
        <v>1</v>
      </c>
      <c r="P86" t="n">
        <v>0</v>
      </c>
      <c r="Q86" t="n">
        <v>1</v>
      </c>
      <c r="R86" s="2" t="inlineStr">
        <is>
          <t>Svedjenäva</t>
        </is>
      </c>
      <c r="S86">
        <f>HYPERLINK("https://klasma.github.io/Logging_0483/artfynd/A 44486-2023 artfynd.xlsx", "A 44486-2023")</f>
        <v/>
      </c>
      <c r="T86">
        <f>HYPERLINK("https://klasma.github.io/Logging_0483/kartor/A 44486-2023 karta.png", "A 44486-2023")</f>
        <v/>
      </c>
      <c r="V86">
        <f>HYPERLINK("https://klasma.github.io/Logging_0483/klagomål/A 44486-2023 FSC-klagomål.docx", "A 44486-2023")</f>
        <v/>
      </c>
      <c r="W86">
        <f>HYPERLINK("https://klasma.github.io/Logging_0483/klagomålsmail/A 44486-2023 FSC-klagomål mail.docx", "A 44486-2023")</f>
        <v/>
      </c>
      <c r="X86">
        <f>HYPERLINK("https://klasma.github.io/Logging_0483/tillsyn/A 44486-2023 tillsynsbegäran.docx", "A 44486-2023")</f>
        <v/>
      </c>
      <c r="Y86">
        <f>HYPERLINK("https://klasma.github.io/Logging_0483/tillsynsmail/A 44486-2023 tillsynsbegäran mail.docx", "A 44486-2023")</f>
        <v/>
      </c>
    </row>
    <row r="87" ht="15" customHeight="1">
      <c r="A87" t="inlineStr">
        <is>
          <t>A 13113-2023</t>
        </is>
      </c>
      <c r="B87" s="1" t="n">
        <v>45002</v>
      </c>
      <c r="C87" s="1" t="n">
        <v>46192</v>
      </c>
      <c r="D87" t="inlineStr">
        <is>
          <t>SÖDERMANLANDS LÄN</t>
        </is>
      </c>
      <c r="E87" t="inlineStr">
        <is>
          <t>KATRINEHOLM</t>
        </is>
      </c>
      <c r="F87" t="inlineStr">
        <is>
          <t>Allmännings- och besparingsskogar</t>
        </is>
      </c>
      <c r="G87" t="n">
        <v>3.6</v>
      </c>
      <c r="H87" t="n">
        <v>0</v>
      </c>
      <c r="I87" t="n">
        <v>0</v>
      </c>
      <c r="J87" t="n">
        <v>0</v>
      </c>
      <c r="K87" t="n">
        <v>1</v>
      </c>
      <c r="L87" t="n">
        <v>0</v>
      </c>
      <c r="M87" t="n">
        <v>0</v>
      </c>
      <c r="N87" t="n">
        <v>0</v>
      </c>
      <c r="O87" t="n">
        <v>1</v>
      </c>
      <c r="P87" t="n">
        <v>1</v>
      </c>
      <c r="Q87" t="n">
        <v>1</v>
      </c>
      <c r="R87" s="2" t="inlineStr">
        <is>
          <t>Igelkott</t>
        </is>
      </c>
      <c r="S87">
        <f>HYPERLINK("https://klasma.github.io/Logging_0483/artfynd/A 13113-2023 artfynd.xlsx", "A 13113-2023")</f>
        <v/>
      </c>
      <c r="T87">
        <f>HYPERLINK("https://klasma.github.io/Logging_0483/kartor/A 13113-2023 karta.png", "A 13113-2023")</f>
        <v/>
      </c>
      <c r="V87">
        <f>HYPERLINK("https://klasma.github.io/Logging_0483/klagomål/A 13113-2023 FSC-klagomål.docx", "A 13113-2023")</f>
        <v/>
      </c>
      <c r="W87">
        <f>HYPERLINK("https://klasma.github.io/Logging_0483/klagomålsmail/A 13113-2023 FSC-klagomål mail.docx", "A 13113-2023")</f>
        <v/>
      </c>
      <c r="X87">
        <f>HYPERLINK("https://klasma.github.io/Logging_0483/tillsyn/A 13113-2023 tillsynsbegäran.docx", "A 13113-2023")</f>
        <v/>
      </c>
      <c r="Y87">
        <f>HYPERLINK("https://klasma.github.io/Logging_0483/tillsynsmail/A 13113-2023 tillsynsbegäran mail.docx", "A 13113-2023")</f>
        <v/>
      </c>
    </row>
    <row r="88" ht="15" customHeight="1">
      <c r="A88" t="inlineStr">
        <is>
          <t>A 36856-2021</t>
        </is>
      </c>
      <c r="B88" s="1" t="n">
        <v>44393</v>
      </c>
      <c r="C88" s="1" t="n">
        <v>46192</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46192</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46192</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42853-2021</t>
        </is>
      </c>
      <c r="B91" s="1" t="n">
        <v>44430</v>
      </c>
      <c r="C91" s="1" t="n">
        <v>46192</v>
      </c>
      <c r="D91" t="inlineStr">
        <is>
          <t>SÖDERMANLANDS LÄN</t>
        </is>
      </c>
      <c r="E91" t="inlineStr">
        <is>
          <t>KATRINEHOLM</t>
        </is>
      </c>
      <c r="G91" t="n">
        <v>5.9</v>
      </c>
      <c r="H91" t="n">
        <v>0</v>
      </c>
      <c r="I91" t="n">
        <v>0</v>
      </c>
      <c r="J91" t="n">
        <v>0</v>
      </c>
      <c r="K91" t="n">
        <v>0</v>
      </c>
      <c r="L91" t="n">
        <v>0</v>
      </c>
      <c r="M91" t="n">
        <v>0</v>
      </c>
      <c r="N91" t="n">
        <v>0</v>
      </c>
      <c r="O91" t="n">
        <v>0</v>
      </c>
      <c r="P91" t="n">
        <v>0</v>
      </c>
      <c r="Q91" t="n">
        <v>0</v>
      </c>
      <c r="R91" s="2" t="inlineStr"/>
    </row>
    <row r="92" ht="15" customHeight="1">
      <c r="A92" t="inlineStr">
        <is>
          <t>A 48166-2022</t>
        </is>
      </c>
      <c r="B92" s="1" t="n">
        <v>44853</v>
      </c>
      <c r="C92" s="1" t="n">
        <v>46192</v>
      </c>
      <c r="D92" t="inlineStr">
        <is>
          <t>SÖDERMANLANDS LÄN</t>
        </is>
      </c>
      <c r="E92" t="inlineStr">
        <is>
          <t>KATRINEHOLM</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72822-2021</t>
        </is>
      </c>
      <c r="B93" s="1" t="n">
        <v>44546</v>
      </c>
      <c r="C93" s="1" t="n">
        <v>46192</v>
      </c>
      <c r="D93" t="inlineStr">
        <is>
          <t>SÖDERMANLANDS LÄN</t>
        </is>
      </c>
      <c r="E93" t="inlineStr">
        <is>
          <t>KATRINEHOLM</t>
        </is>
      </c>
      <c r="G93" t="n">
        <v>6.3</v>
      </c>
      <c r="H93" t="n">
        <v>0</v>
      </c>
      <c r="I93" t="n">
        <v>0</v>
      </c>
      <c r="J93" t="n">
        <v>0</v>
      </c>
      <c r="K93" t="n">
        <v>0</v>
      </c>
      <c r="L93" t="n">
        <v>0</v>
      </c>
      <c r="M93" t="n">
        <v>0</v>
      </c>
      <c r="N93" t="n">
        <v>0</v>
      </c>
      <c r="O93" t="n">
        <v>0</v>
      </c>
      <c r="P93" t="n">
        <v>0</v>
      </c>
      <c r="Q93" t="n">
        <v>0</v>
      </c>
      <c r="R93" s="2" t="inlineStr"/>
    </row>
    <row r="94" ht="15" customHeight="1">
      <c r="A94" t="inlineStr">
        <is>
          <t>A 73929-2021</t>
        </is>
      </c>
      <c r="B94" s="1" t="n">
        <v>44553</v>
      </c>
      <c r="C94" s="1" t="n">
        <v>46192</v>
      </c>
      <c r="D94" t="inlineStr">
        <is>
          <t>SÖDERMANLANDS LÄN</t>
        </is>
      </c>
      <c r="E94" t="inlineStr">
        <is>
          <t>KATRINEHOLM</t>
        </is>
      </c>
      <c r="G94" t="n">
        <v>0.6</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46192</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46192</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65188-2021</t>
        </is>
      </c>
      <c r="B97" s="1" t="n">
        <v>44512</v>
      </c>
      <c r="C97" s="1" t="n">
        <v>46192</v>
      </c>
      <c r="D97" t="inlineStr">
        <is>
          <t>SÖDERMANLANDS LÄN</t>
        </is>
      </c>
      <c r="E97" t="inlineStr">
        <is>
          <t>KATRINEHOLM</t>
        </is>
      </c>
      <c r="G97" t="n">
        <v>0.6</v>
      </c>
      <c r="H97" t="n">
        <v>0</v>
      </c>
      <c r="I97" t="n">
        <v>0</v>
      </c>
      <c r="J97" t="n">
        <v>0</v>
      </c>
      <c r="K97" t="n">
        <v>0</v>
      </c>
      <c r="L97" t="n">
        <v>0</v>
      </c>
      <c r="M97" t="n">
        <v>0</v>
      </c>
      <c r="N97" t="n">
        <v>0</v>
      </c>
      <c r="O97" t="n">
        <v>0</v>
      </c>
      <c r="P97" t="n">
        <v>0</v>
      </c>
      <c r="Q97" t="n">
        <v>0</v>
      </c>
      <c r="R97" s="2" t="inlineStr"/>
    </row>
    <row r="98" ht="15" customHeight="1">
      <c r="A98" t="inlineStr">
        <is>
          <t>A 50625-2022</t>
        </is>
      </c>
      <c r="B98" s="1" t="n">
        <v>44866</v>
      </c>
      <c r="C98" s="1" t="n">
        <v>46192</v>
      </c>
      <c r="D98" t="inlineStr">
        <is>
          <t>SÖDERMANLANDS LÄN</t>
        </is>
      </c>
      <c r="E98" t="inlineStr">
        <is>
          <t>KATRINEHOLM</t>
        </is>
      </c>
      <c r="F98" t="inlineStr">
        <is>
          <t>Kyrkan</t>
        </is>
      </c>
      <c r="G98" t="n">
        <v>25</v>
      </c>
      <c r="H98" t="n">
        <v>0</v>
      </c>
      <c r="I98" t="n">
        <v>0</v>
      </c>
      <c r="J98" t="n">
        <v>0</v>
      </c>
      <c r="K98" t="n">
        <v>0</v>
      </c>
      <c r="L98" t="n">
        <v>0</v>
      </c>
      <c r="M98" t="n">
        <v>0</v>
      </c>
      <c r="N98" t="n">
        <v>0</v>
      </c>
      <c r="O98" t="n">
        <v>0</v>
      </c>
      <c r="P98" t="n">
        <v>0</v>
      </c>
      <c r="Q98" t="n">
        <v>0</v>
      </c>
      <c r="R98" s="2" t="inlineStr"/>
    </row>
    <row r="99" ht="15" customHeight="1">
      <c r="A99" t="inlineStr">
        <is>
          <t>A 53473-2021</t>
        </is>
      </c>
      <c r="B99" s="1" t="n">
        <v>44468</v>
      </c>
      <c r="C99" s="1" t="n">
        <v>46192</v>
      </c>
      <c r="D99" t="inlineStr">
        <is>
          <t>SÖDERMANLANDS LÄN</t>
        </is>
      </c>
      <c r="E99" t="inlineStr">
        <is>
          <t>KATRINEHOLM</t>
        </is>
      </c>
      <c r="G99" t="n">
        <v>10.8</v>
      </c>
      <c r="H99" t="n">
        <v>0</v>
      </c>
      <c r="I99" t="n">
        <v>0</v>
      </c>
      <c r="J99" t="n">
        <v>0</v>
      </c>
      <c r="K99" t="n">
        <v>0</v>
      </c>
      <c r="L99" t="n">
        <v>0</v>
      </c>
      <c r="M99" t="n">
        <v>0</v>
      </c>
      <c r="N99" t="n">
        <v>0</v>
      </c>
      <c r="O99" t="n">
        <v>0</v>
      </c>
      <c r="P99" t="n">
        <v>0</v>
      </c>
      <c r="Q99" t="n">
        <v>0</v>
      </c>
      <c r="R99" s="2" t="inlineStr"/>
    </row>
    <row r="100" ht="15" customHeight="1">
      <c r="A100" t="inlineStr">
        <is>
          <t>A 70442-2021</t>
        </is>
      </c>
      <c r="B100" s="1" t="n">
        <v>44536</v>
      </c>
      <c r="C100" s="1" t="n">
        <v>46192</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46192</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46192</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11024-2022</t>
        </is>
      </c>
      <c r="B103" s="1" t="n">
        <v>44628</v>
      </c>
      <c r="C103" s="1" t="n">
        <v>46192</v>
      </c>
      <c r="D103" t="inlineStr">
        <is>
          <t>SÖDERMANLANDS LÄN</t>
        </is>
      </c>
      <c r="E103" t="inlineStr">
        <is>
          <t>KATRINEHOLM</t>
        </is>
      </c>
      <c r="G103" t="n">
        <v>0.4</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46192</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46192</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46192</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46192</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46192</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36605-2021</t>
        </is>
      </c>
      <c r="B109" s="1" t="n">
        <v>44391</v>
      </c>
      <c r="C109" s="1" t="n">
        <v>46192</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39862-2021</t>
        </is>
      </c>
      <c r="B110" s="1" t="n">
        <v>44417</v>
      </c>
      <c r="C110" s="1" t="n">
        <v>46192</v>
      </c>
      <c r="D110" t="inlineStr">
        <is>
          <t>SÖDERMANLANDS LÄN</t>
        </is>
      </c>
      <c r="E110" t="inlineStr">
        <is>
          <t>KATRINEHOLM</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46192</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56337-2021</t>
        </is>
      </c>
      <c r="B112" s="1" t="n">
        <v>44480</v>
      </c>
      <c r="C112" s="1" t="n">
        <v>46192</v>
      </c>
      <c r="D112" t="inlineStr">
        <is>
          <t>SÖDERMANLANDS LÄN</t>
        </is>
      </c>
      <c r="E112" t="inlineStr">
        <is>
          <t>KATRINEHOLM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60515-2021</t>
        </is>
      </c>
      <c r="B113" s="1" t="n">
        <v>44496</v>
      </c>
      <c r="C113" s="1" t="n">
        <v>46192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31846-2021</t>
        </is>
      </c>
      <c r="B114" s="1" t="n">
        <v>44370</v>
      </c>
      <c r="C114" s="1" t="n">
        <v>46192</v>
      </c>
      <c r="D114" t="inlineStr">
        <is>
          <t>SÖDERMANLANDS LÄN</t>
        </is>
      </c>
      <c r="E114" t="inlineStr">
        <is>
          <t>KATRINEHOLM</t>
        </is>
      </c>
      <c r="G114" t="n">
        <v>4.9</v>
      </c>
      <c r="H114" t="n">
        <v>0</v>
      </c>
      <c r="I114" t="n">
        <v>0</v>
      </c>
      <c r="J114" t="n">
        <v>0</v>
      </c>
      <c r="K114" t="n">
        <v>0</v>
      </c>
      <c r="L114" t="n">
        <v>0</v>
      </c>
      <c r="M114" t="n">
        <v>0</v>
      </c>
      <c r="N114" t="n">
        <v>0</v>
      </c>
      <c r="O114" t="n">
        <v>0</v>
      </c>
      <c r="P114" t="n">
        <v>0</v>
      </c>
      <c r="Q114" t="n">
        <v>0</v>
      </c>
      <c r="R114" s="2" t="inlineStr"/>
    </row>
    <row r="115" ht="15" customHeight="1">
      <c r="A115" t="inlineStr">
        <is>
          <t>A 3572-2022</t>
        </is>
      </c>
      <c r="B115" s="1" t="n">
        <v>44585</v>
      </c>
      <c r="C115" s="1" t="n">
        <v>46192</v>
      </c>
      <c r="D115" t="inlineStr">
        <is>
          <t>SÖDERMANLANDS LÄN</t>
        </is>
      </c>
      <c r="E115" t="inlineStr">
        <is>
          <t>KATRINEHOLM</t>
        </is>
      </c>
      <c r="G115" t="n">
        <v>1.7</v>
      </c>
      <c r="H115" t="n">
        <v>0</v>
      </c>
      <c r="I115" t="n">
        <v>0</v>
      </c>
      <c r="J115" t="n">
        <v>0</v>
      </c>
      <c r="K115" t="n">
        <v>0</v>
      </c>
      <c r="L115" t="n">
        <v>0</v>
      </c>
      <c r="M115" t="n">
        <v>0</v>
      </c>
      <c r="N115" t="n">
        <v>0</v>
      </c>
      <c r="O115" t="n">
        <v>0</v>
      </c>
      <c r="P115" t="n">
        <v>0</v>
      </c>
      <c r="Q115" t="n">
        <v>0</v>
      </c>
      <c r="R115" s="2" t="inlineStr"/>
    </row>
    <row r="116" ht="15" customHeight="1">
      <c r="A116" t="inlineStr">
        <is>
          <t>A 24207-2022</t>
        </is>
      </c>
      <c r="B116" s="1" t="n">
        <v>44725</v>
      </c>
      <c r="C116" s="1" t="n">
        <v>46192</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34070-2022</t>
        </is>
      </c>
      <c r="B117" s="1" t="n">
        <v>44791</v>
      </c>
      <c r="C117" s="1" t="n">
        <v>46192</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53349-2021</t>
        </is>
      </c>
      <c r="B118" s="1" t="n">
        <v>44468</v>
      </c>
      <c r="C118" s="1" t="n">
        <v>46192</v>
      </c>
      <c r="D118" t="inlineStr">
        <is>
          <t>SÖDERMANLANDS LÄN</t>
        </is>
      </c>
      <c r="E118" t="inlineStr">
        <is>
          <t>KATRINEHOLM</t>
        </is>
      </c>
      <c r="G118" t="n">
        <v>4</v>
      </c>
      <c r="H118" t="n">
        <v>0</v>
      </c>
      <c r="I118" t="n">
        <v>0</v>
      </c>
      <c r="J118" t="n">
        <v>0</v>
      </c>
      <c r="K118" t="n">
        <v>0</v>
      </c>
      <c r="L118" t="n">
        <v>0</v>
      </c>
      <c r="M118" t="n">
        <v>0</v>
      </c>
      <c r="N118" t="n">
        <v>0</v>
      </c>
      <c r="O118" t="n">
        <v>0</v>
      </c>
      <c r="P118" t="n">
        <v>0</v>
      </c>
      <c r="Q118" t="n">
        <v>0</v>
      </c>
      <c r="R118" s="2" t="inlineStr"/>
    </row>
    <row r="119" ht="15" customHeight="1">
      <c r="A119" t="inlineStr">
        <is>
          <t>A 65589-2021</t>
        </is>
      </c>
      <c r="B119" s="1" t="n">
        <v>44515</v>
      </c>
      <c r="C119" s="1" t="n">
        <v>46192</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9786-2022</t>
        </is>
      </c>
      <c r="B120" s="1" t="n">
        <v>44619</v>
      </c>
      <c r="C120" s="1" t="n">
        <v>46192</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46192</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2884-2022</t>
        </is>
      </c>
      <c r="B122" s="1" t="n">
        <v>44581</v>
      </c>
      <c r="C122" s="1" t="n">
        <v>46192</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2636-2022</t>
        </is>
      </c>
      <c r="B123" s="1" t="n">
        <v>44580</v>
      </c>
      <c r="C123" s="1" t="n">
        <v>46192</v>
      </c>
      <c r="D123" t="inlineStr">
        <is>
          <t>SÖDERMANLANDS LÄN</t>
        </is>
      </c>
      <c r="E123" t="inlineStr">
        <is>
          <t>KATRINEHOLM</t>
        </is>
      </c>
      <c r="F123" t="inlineStr">
        <is>
          <t>Övriga Aktiebolag</t>
        </is>
      </c>
      <c r="G123" t="n">
        <v>2.5</v>
      </c>
      <c r="H123" t="n">
        <v>0</v>
      </c>
      <c r="I123" t="n">
        <v>0</v>
      </c>
      <c r="J123" t="n">
        <v>0</v>
      </c>
      <c r="K123" t="n">
        <v>0</v>
      </c>
      <c r="L123" t="n">
        <v>0</v>
      </c>
      <c r="M123" t="n">
        <v>0</v>
      </c>
      <c r="N123" t="n">
        <v>0</v>
      </c>
      <c r="O123" t="n">
        <v>0</v>
      </c>
      <c r="P123" t="n">
        <v>0</v>
      </c>
      <c r="Q123" t="n">
        <v>0</v>
      </c>
      <c r="R123" s="2" t="inlineStr"/>
    </row>
    <row r="124" ht="15" customHeight="1">
      <c r="A124" t="inlineStr">
        <is>
          <t>A 45274-2022</t>
        </is>
      </c>
      <c r="B124" s="1" t="n">
        <v>44844</v>
      </c>
      <c r="C124" s="1" t="n">
        <v>46192</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61236-2021</t>
        </is>
      </c>
      <c r="B125" s="1" t="n">
        <v>44498</v>
      </c>
      <c r="C125" s="1" t="n">
        <v>46192</v>
      </c>
      <c r="D125" t="inlineStr">
        <is>
          <t>SÖDERMANLANDS LÄN</t>
        </is>
      </c>
      <c r="E125" t="inlineStr">
        <is>
          <t>KATRINEHOLM</t>
        </is>
      </c>
      <c r="G125" t="n">
        <v>3.9</v>
      </c>
      <c r="H125" t="n">
        <v>0</v>
      </c>
      <c r="I125" t="n">
        <v>0</v>
      </c>
      <c r="J125" t="n">
        <v>0</v>
      </c>
      <c r="K125" t="n">
        <v>0</v>
      </c>
      <c r="L125" t="n">
        <v>0</v>
      </c>
      <c r="M125" t="n">
        <v>0</v>
      </c>
      <c r="N125" t="n">
        <v>0</v>
      </c>
      <c r="O125" t="n">
        <v>0</v>
      </c>
      <c r="P125" t="n">
        <v>0</v>
      </c>
      <c r="Q125" t="n">
        <v>0</v>
      </c>
      <c r="R125" s="2" t="inlineStr"/>
    </row>
    <row r="126" ht="15" customHeight="1">
      <c r="A126" t="inlineStr">
        <is>
          <t>A 31836-2021</t>
        </is>
      </c>
      <c r="B126" s="1" t="n">
        <v>44370</v>
      </c>
      <c r="C126" s="1" t="n">
        <v>46192</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46192</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32632-2022</t>
        </is>
      </c>
      <c r="B128" s="1" t="n">
        <v>44783</v>
      </c>
      <c r="C128" s="1" t="n">
        <v>46192</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32639-2022</t>
        </is>
      </c>
      <c r="B129" s="1" t="n">
        <v>44783</v>
      </c>
      <c r="C129" s="1" t="n">
        <v>46192</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52063-2021</t>
        </is>
      </c>
      <c r="B130" s="1" t="n">
        <v>44449</v>
      </c>
      <c r="C130" s="1" t="n">
        <v>46192</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32600-2022</t>
        </is>
      </c>
      <c r="B131" s="1" t="n">
        <v>44783</v>
      </c>
      <c r="C131" s="1" t="n">
        <v>46192</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64261-2021</t>
        </is>
      </c>
      <c r="B132" s="1" t="n">
        <v>44510</v>
      </c>
      <c r="C132" s="1" t="n">
        <v>46192</v>
      </c>
      <c r="D132" t="inlineStr">
        <is>
          <t>SÖDERMANLANDS LÄN</t>
        </is>
      </c>
      <c r="E132" t="inlineStr">
        <is>
          <t>KATRINEHOLM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6826-2022</t>
        </is>
      </c>
      <c r="B133" s="1" t="n">
        <v>44602</v>
      </c>
      <c r="C133" s="1" t="n">
        <v>46192</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46640-2021</t>
        </is>
      </c>
      <c r="B134" s="1" t="n">
        <v>44445</v>
      </c>
      <c r="C134" s="1" t="n">
        <v>46192</v>
      </c>
      <c r="D134" t="inlineStr">
        <is>
          <t>SÖDERMANLANDS LÄN</t>
        </is>
      </c>
      <c r="E134" t="inlineStr">
        <is>
          <t>KATRINEHOLM</t>
        </is>
      </c>
      <c r="G134" t="n">
        <v>5.6</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46192</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46192</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46192</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46192</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46192</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46192</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46192</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55349-2021</t>
        </is>
      </c>
      <c r="B142" s="1" t="n">
        <v>44475</v>
      </c>
      <c r="C142" s="1" t="n">
        <v>46192</v>
      </c>
      <c r="D142" t="inlineStr">
        <is>
          <t>SÖDERMANLANDS LÄN</t>
        </is>
      </c>
      <c r="E142" t="inlineStr">
        <is>
          <t>KATRINEHOLM</t>
        </is>
      </c>
      <c r="G142" t="n">
        <v>2.8</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v>
      </c>
      <c r="C143" s="1" t="n">
        <v>46192</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46192</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46192</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46192</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v>
      </c>
      <c r="C147" s="1" t="n">
        <v>46192</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46192</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46192</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46192</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v>
      </c>
      <c r="C151" s="1" t="n">
        <v>46192</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46192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v>
      </c>
      <c r="C153" s="1" t="n">
        <v>46192</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v>
      </c>
      <c r="C154" s="1" t="n">
        <v>46192</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46192</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46192</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69429-2021</t>
        </is>
      </c>
      <c r="B157" s="1" t="n">
        <v>44531</v>
      </c>
      <c r="C157" s="1" t="n">
        <v>46192</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v>
      </c>
      <c r="C158" s="1" t="n">
        <v>46192</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41642-2022</t>
        </is>
      </c>
      <c r="B159" s="1" t="n">
        <v>44827</v>
      </c>
      <c r="C159" s="1" t="n">
        <v>46192</v>
      </c>
      <c r="D159" t="inlineStr">
        <is>
          <t>SÖDERMANLANDS LÄN</t>
        </is>
      </c>
      <c r="E159" t="inlineStr">
        <is>
          <t>KATRINEHOLM</t>
        </is>
      </c>
      <c r="G159" t="n">
        <v>2.4</v>
      </c>
      <c r="H159" t="n">
        <v>0</v>
      </c>
      <c r="I159" t="n">
        <v>0</v>
      </c>
      <c r="J159" t="n">
        <v>0</v>
      </c>
      <c r="K159" t="n">
        <v>0</v>
      </c>
      <c r="L159" t="n">
        <v>0</v>
      </c>
      <c r="M159" t="n">
        <v>0</v>
      </c>
      <c r="N159" t="n">
        <v>0</v>
      </c>
      <c r="O159" t="n">
        <v>0</v>
      </c>
      <c r="P159" t="n">
        <v>0</v>
      </c>
      <c r="Q159" t="n">
        <v>0</v>
      </c>
      <c r="R159" s="2" t="inlineStr"/>
    </row>
    <row r="160" ht="15" customHeight="1">
      <c r="A160" t="inlineStr">
        <is>
          <t>A 52044-2021</t>
        </is>
      </c>
      <c r="B160" s="1" t="n">
        <v>44463</v>
      </c>
      <c r="C160" s="1" t="n">
        <v>46192</v>
      </c>
      <c r="D160" t="inlineStr">
        <is>
          <t>SÖDERMANLANDS LÄN</t>
        </is>
      </c>
      <c r="E160" t="inlineStr">
        <is>
          <t>KATRINEHOLM</t>
        </is>
      </c>
      <c r="G160" t="n">
        <v>1.1</v>
      </c>
      <c r="H160" t="n">
        <v>0</v>
      </c>
      <c r="I160" t="n">
        <v>0</v>
      </c>
      <c r="J160" t="n">
        <v>0</v>
      </c>
      <c r="K160" t="n">
        <v>0</v>
      </c>
      <c r="L160" t="n">
        <v>0</v>
      </c>
      <c r="M160" t="n">
        <v>0</v>
      </c>
      <c r="N160" t="n">
        <v>0</v>
      </c>
      <c r="O160" t="n">
        <v>0</v>
      </c>
      <c r="P160" t="n">
        <v>0</v>
      </c>
      <c r="Q160" t="n">
        <v>0</v>
      </c>
      <c r="R160" s="2" t="inlineStr"/>
    </row>
    <row r="161" ht="15" customHeight="1">
      <c r="A161" t="inlineStr">
        <is>
          <t>A 36964-2021</t>
        </is>
      </c>
      <c r="B161" s="1" t="n">
        <v>44393</v>
      </c>
      <c r="C161" s="1" t="n">
        <v>46192</v>
      </c>
      <c r="D161" t="inlineStr">
        <is>
          <t>SÖDERMANLANDS LÄN</t>
        </is>
      </c>
      <c r="E161" t="inlineStr">
        <is>
          <t>KATRINEHOLM</t>
        </is>
      </c>
      <c r="G161" t="n">
        <v>3.5</v>
      </c>
      <c r="H161" t="n">
        <v>0</v>
      </c>
      <c r="I161" t="n">
        <v>0</v>
      </c>
      <c r="J161" t="n">
        <v>0</v>
      </c>
      <c r="K161" t="n">
        <v>0</v>
      </c>
      <c r="L161" t="n">
        <v>0</v>
      </c>
      <c r="M161" t="n">
        <v>0</v>
      </c>
      <c r="N161" t="n">
        <v>0</v>
      </c>
      <c r="O161" t="n">
        <v>0</v>
      </c>
      <c r="P161" t="n">
        <v>0</v>
      </c>
      <c r="Q161" t="n">
        <v>0</v>
      </c>
      <c r="R161" s="2" t="inlineStr"/>
    </row>
    <row r="162" ht="15" customHeight="1">
      <c r="A162" t="inlineStr">
        <is>
          <t>A 30981-2022</t>
        </is>
      </c>
      <c r="B162" s="1" t="n">
        <v>44768</v>
      </c>
      <c r="C162" s="1" t="n">
        <v>46192</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53822-2023</t>
        </is>
      </c>
      <c r="B163" s="1" t="n">
        <v>45231</v>
      </c>
      <c r="C163" s="1" t="n">
        <v>46192</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6789-2022</t>
        </is>
      </c>
      <c r="B164" s="1" t="n">
        <v>44602</v>
      </c>
      <c r="C164" s="1" t="n">
        <v>46192</v>
      </c>
      <c r="D164" t="inlineStr">
        <is>
          <t>SÖDERMANLANDS LÄN</t>
        </is>
      </c>
      <c r="E164" t="inlineStr">
        <is>
          <t>KATRINEHOLM</t>
        </is>
      </c>
      <c r="G164" t="n">
        <v>4.6</v>
      </c>
      <c r="H164" t="n">
        <v>0</v>
      </c>
      <c r="I164" t="n">
        <v>0</v>
      </c>
      <c r="J164" t="n">
        <v>0</v>
      </c>
      <c r="K164" t="n">
        <v>0</v>
      </c>
      <c r="L164" t="n">
        <v>0</v>
      </c>
      <c r="M164" t="n">
        <v>0</v>
      </c>
      <c r="N164" t="n">
        <v>0</v>
      </c>
      <c r="O164" t="n">
        <v>0</v>
      </c>
      <c r="P164" t="n">
        <v>0</v>
      </c>
      <c r="Q164" t="n">
        <v>0</v>
      </c>
      <c r="R164" s="2" t="inlineStr"/>
    </row>
    <row r="165" ht="15" customHeight="1">
      <c r="A165" t="inlineStr">
        <is>
          <t>A 21576-2022</t>
        </is>
      </c>
      <c r="B165" s="1" t="n">
        <v>44706</v>
      </c>
      <c r="C165" s="1" t="n">
        <v>46192</v>
      </c>
      <c r="D165" t="inlineStr">
        <is>
          <t>SÖDERMANLANDS LÄN</t>
        </is>
      </c>
      <c r="E165" t="inlineStr">
        <is>
          <t>KATRINEHOLM</t>
        </is>
      </c>
      <c r="G165" t="n">
        <v>4.2</v>
      </c>
      <c r="H165" t="n">
        <v>0</v>
      </c>
      <c r="I165" t="n">
        <v>0</v>
      </c>
      <c r="J165" t="n">
        <v>0</v>
      </c>
      <c r="K165" t="n">
        <v>0</v>
      </c>
      <c r="L165" t="n">
        <v>0</v>
      </c>
      <c r="M165" t="n">
        <v>0</v>
      </c>
      <c r="N165" t="n">
        <v>0</v>
      </c>
      <c r="O165" t="n">
        <v>0</v>
      </c>
      <c r="P165" t="n">
        <v>0</v>
      </c>
      <c r="Q165" t="n">
        <v>0</v>
      </c>
      <c r="R165" s="2" t="inlineStr"/>
    </row>
    <row r="166" ht="15" customHeight="1">
      <c r="A166" t="inlineStr">
        <is>
          <t>A 43967-2022</t>
        </is>
      </c>
      <c r="B166" s="1" t="n">
        <v>44837</v>
      </c>
      <c r="C166" s="1" t="n">
        <v>46192</v>
      </c>
      <c r="D166" t="inlineStr">
        <is>
          <t>SÖDERMANLANDS LÄN</t>
        </is>
      </c>
      <c r="E166" t="inlineStr">
        <is>
          <t>KATRINEHOLM</t>
        </is>
      </c>
      <c r="G166" t="n">
        <v>6.2</v>
      </c>
      <c r="H166" t="n">
        <v>0</v>
      </c>
      <c r="I166" t="n">
        <v>0</v>
      </c>
      <c r="J166" t="n">
        <v>0</v>
      </c>
      <c r="K166" t="n">
        <v>0</v>
      </c>
      <c r="L166" t="n">
        <v>0</v>
      </c>
      <c r="M166" t="n">
        <v>0</v>
      </c>
      <c r="N166" t="n">
        <v>0</v>
      </c>
      <c r="O166" t="n">
        <v>0</v>
      </c>
      <c r="P166" t="n">
        <v>0</v>
      </c>
      <c r="Q166" t="n">
        <v>0</v>
      </c>
      <c r="R166" s="2" t="inlineStr"/>
    </row>
    <row r="167" ht="15" customHeight="1">
      <c r="A167" t="inlineStr">
        <is>
          <t>A 44012-2022</t>
        </is>
      </c>
      <c r="B167" s="1" t="n">
        <v>44838</v>
      </c>
      <c r="C167" s="1" t="n">
        <v>46192</v>
      </c>
      <c r="D167" t="inlineStr">
        <is>
          <t>SÖDERMANLANDS LÄN</t>
        </is>
      </c>
      <c r="E167" t="inlineStr">
        <is>
          <t>KATRINEHOLM</t>
        </is>
      </c>
      <c r="G167" t="n">
        <v>0.4</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v>
      </c>
      <c r="C168" s="1" t="n">
        <v>46192</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46192</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46192</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31684-2021</t>
        </is>
      </c>
      <c r="B171" s="1" t="n">
        <v>44369</v>
      </c>
      <c r="C171" s="1" t="n">
        <v>46192</v>
      </c>
      <c r="D171" t="inlineStr">
        <is>
          <t>SÖDERMANLANDS LÄN</t>
        </is>
      </c>
      <c r="E171" t="inlineStr">
        <is>
          <t>KATRINEHOLM</t>
        </is>
      </c>
      <c r="G171" t="n">
        <v>3.4</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v>
      </c>
      <c r="C172" s="1" t="n">
        <v>46192</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33753-2022</t>
        </is>
      </c>
      <c r="B173" s="1" t="n">
        <v>44789</v>
      </c>
      <c r="C173" s="1" t="n">
        <v>46192</v>
      </c>
      <c r="D173" t="inlineStr">
        <is>
          <t>SÖDERMANLANDS LÄN</t>
        </is>
      </c>
      <c r="E173" t="inlineStr">
        <is>
          <t>KATRINEHOLM</t>
        </is>
      </c>
      <c r="G173" t="n">
        <v>4.9</v>
      </c>
      <c r="H173" t="n">
        <v>0</v>
      </c>
      <c r="I173" t="n">
        <v>0</v>
      </c>
      <c r="J173" t="n">
        <v>0</v>
      </c>
      <c r="K173" t="n">
        <v>0</v>
      </c>
      <c r="L173" t="n">
        <v>0</v>
      </c>
      <c r="M173" t="n">
        <v>0</v>
      </c>
      <c r="N173" t="n">
        <v>0</v>
      </c>
      <c r="O173" t="n">
        <v>0</v>
      </c>
      <c r="P173" t="n">
        <v>0</v>
      </c>
      <c r="Q173" t="n">
        <v>0</v>
      </c>
      <c r="R173" s="2" t="inlineStr"/>
    </row>
    <row r="174" ht="15" customHeight="1">
      <c r="A174" t="inlineStr">
        <is>
          <t>A 53791-2021</t>
        </is>
      </c>
      <c r="B174" s="1" t="n">
        <v>44467</v>
      </c>
      <c r="C174" s="1" t="n">
        <v>46192</v>
      </c>
      <c r="D174" t="inlineStr">
        <is>
          <t>SÖDERMANLANDS LÄN</t>
        </is>
      </c>
      <c r="E174" t="inlineStr">
        <is>
          <t>KATRINEHOLM</t>
        </is>
      </c>
      <c r="G174" t="n">
        <v>2.7</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v>
      </c>
      <c r="C175" s="1" t="n">
        <v>46192</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41946-2022</t>
        </is>
      </c>
      <c r="B176" s="1" t="n">
        <v>44830</v>
      </c>
      <c r="C176" s="1" t="n">
        <v>46192</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46192</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38607-2021</t>
        </is>
      </c>
      <c r="B178" s="1" t="n">
        <v>44409</v>
      </c>
      <c r="C178" s="1" t="n">
        <v>46192</v>
      </c>
      <c r="D178" t="inlineStr">
        <is>
          <t>SÖDERMANLANDS LÄN</t>
        </is>
      </c>
      <c r="E178" t="inlineStr">
        <is>
          <t>KATRINEHOLM</t>
        </is>
      </c>
      <c r="G178" t="n">
        <v>2.9</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46192</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46192</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46192</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45147-2021</t>
        </is>
      </c>
      <c r="B182" s="1" t="n">
        <v>44439</v>
      </c>
      <c r="C182" s="1" t="n">
        <v>46192</v>
      </c>
      <c r="D182" t="inlineStr">
        <is>
          <t>SÖDERMANLANDS LÄN</t>
        </is>
      </c>
      <c r="E182" t="inlineStr">
        <is>
          <t>KATRINEHOLM</t>
        </is>
      </c>
      <c r="G182" t="n">
        <v>3.2</v>
      </c>
      <c r="H182" t="n">
        <v>0</v>
      </c>
      <c r="I182" t="n">
        <v>0</v>
      </c>
      <c r="J182" t="n">
        <v>0</v>
      </c>
      <c r="K182" t="n">
        <v>0</v>
      </c>
      <c r="L182" t="n">
        <v>0</v>
      </c>
      <c r="M182" t="n">
        <v>0</v>
      </c>
      <c r="N182" t="n">
        <v>0</v>
      </c>
      <c r="O182" t="n">
        <v>0</v>
      </c>
      <c r="P182" t="n">
        <v>0</v>
      </c>
      <c r="Q182" t="n">
        <v>0</v>
      </c>
      <c r="R182" s="2" t="inlineStr"/>
    </row>
    <row r="183" ht="15" customHeight="1">
      <c r="A183" t="inlineStr">
        <is>
          <t>A 51613-2022</t>
        </is>
      </c>
      <c r="B183" s="1" t="n">
        <v>44871</v>
      </c>
      <c r="C183" s="1" t="n">
        <v>46192</v>
      </c>
      <c r="D183" t="inlineStr">
        <is>
          <t>SÖDERMANLANDS LÄN</t>
        </is>
      </c>
      <c r="E183" t="inlineStr">
        <is>
          <t>KATRINEHOLM</t>
        </is>
      </c>
      <c r="G183" t="n">
        <v>3</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46192</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19868-2022</t>
        </is>
      </c>
      <c r="B185" s="1" t="n">
        <v>44696</v>
      </c>
      <c r="C185" s="1" t="n">
        <v>46192</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58651-2023</t>
        </is>
      </c>
      <c r="B186" s="1" t="n">
        <v>45247</v>
      </c>
      <c r="C186" s="1" t="n">
        <v>46192</v>
      </c>
      <c r="D186" t="inlineStr">
        <is>
          <t>SÖDERMANLANDS LÄN</t>
        </is>
      </c>
      <c r="E186" t="inlineStr">
        <is>
          <t>KATRINEHOLM</t>
        </is>
      </c>
      <c r="G186" t="n">
        <v>2.7</v>
      </c>
      <c r="H186" t="n">
        <v>0</v>
      </c>
      <c r="I186" t="n">
        <v>0</v>
      </c>
      <c r="J186" t="n">
        <v>0</v>
      </c>
      <c r="K186" t="n">
        <v>0</v>
      </c>
      <c r="L186" t="n">
        <v>0</v>
      </c>
      <c r="M186" t="n">
        <v>0</v>
      </c>
      <c r="N186" t="n">
        <v>0</v>
      </c>
      <c r="O186" t="n">
        <v>0</v>
      </c>
      <c r="P186" t="n">
        <v>0</v>
      </c>
      <c r="Q186" t="n">
        <v>0</v>
      </c>
      <c r="R186" s="2" t="inlineStr"/>
    </row>
    <row r="187" ht="15" customHeight="1">
      <c r="A187" t="inlineStr">
        <is>
          <t>A 8765-2023</t>
        </is>
      </c>
      <c r="B187" s="1" t="n">
        <v>44978</v>
      </c>
      <c r="C187" s="1" t="n">
        <v>46192</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50061-2022</t>
        </is>
      </c>
      <c r="B188" s="1" t="n">
        <v>44865</v>
      </c>
      <c r="C188" s="1" t="n">
        <v>46192</v>
      </c>
      <c r="D188" t="inlineStr">
        <is>
          <t>SÖDERMANLANDS LÄN</t>
        </is>
      </c>
      <c r="E188" t="inlineStr">
        <is>
          <t>KATRINEHOLM</t>
        </is>
      </c>
      <c r="G188" t="n">
        <v>4.9</v>
      </c>
      <c r="H188" t="n">
        <v>0</v>
      </c>
      <c r="I188" t="n">
        <v>0</v>
      </c>
      <c r="J188" t="n">
        <v>0</v>
      </c>
      <c r="K188" t="n">
        <v>0</v>
      </c>
      <c r="L188" t="n">
        <v>0</v>
      </c>
      <c r="M188" t="n">
        <v>0</v>
      </c>
      <c r="N188" t="n">
        <v>0</v>
      </c>
      <c r="O188" t="n">
        <v>0</v>
      </c>
      <c r="P188" t="n">
        <v>0</v>
      </c>
      <c r="Q188" t="n">
        <v>0</v>
      </c>
      <c r="R188" s="2" t="inlineStr"/>
    </row>
    <row r="189" ht="15" customHeight="1">
      <c r="A189" t="inlineStr">
        <is>
          <t>A 7189-2022</t>
        </is>
      </c>
      <c r="B189" s="1" t="n">
        <v>44605</v>
      </c>
      <c r="C189" s="1" t="n">
        <v>46192</v>
      </c>
      <c r="D189" t="inlineStr">
        <is>
          <t>SÖDERMANLANDS LÄN</t>
        </is>
      </c>
      <c r="E189" t="inlineStr">
        <is>
          <t>KATRINEHOLM</t>
        </is>
      </c>
      <c r="G189" t="n">
        <v>1.8</v>
      </c>
      <c r="H189" t="n">
        <v>0</v>
      </c>
      <c r="I189" t="n">
        <v>0</v>
      </c>
      <c r="J189" t="n">
        <v>0</v>
      </c>
      <c r="K189" t="n">
        <v>0</v>
      </c>
      <c r="L189" t="n">
        <v>0</v>
      </c>
      <c r="M189" t="n">
        <v>0</v>
      </c>
      <c r="N189" t="n">
        <v>0</v>
      </c>
      <c r="O189" t="n">
        <v>0</v>
      </c>
      <c r="P189" t="n">
        <v>0</v>
      </c>
      <c r="Q189" t="n">
        <v>0</v>
      </c>
      <c r="R189" s="2" t="inlineStr"/>
    </row>
    <row r="190" ht="15" customHeight="1">
      <c r="A190" t="inlineStr">
        <is>
          <t>A 54698-2021</t>
        </is>
      </c>
      <c r="B190" s="1" t="n">
        <v>44473</v>
      </c>
      <c r="C190" s="1" t="n">
        <v>46192</v>
      </c>
      <c r="D190" t="inlineStr">
        <is>
          <t>SÖDERMANLANDS LÄN</t>
        </is>
      </c>
      <c r="E190" t="inlineStr">
        <is>
          <t>KATRINEHOLM</t>
        </is>
      </c>
      <c r="F190" t="inlineStr">
        <is>
          <t>Holmen skog AB</t>
        </is>
      </c>
      <c r="G190" t="n">
        <v>1.7</v>
      </c>
      <c r="H190" t="n">
        <v>0</v>
      </c>
      <c r="I190" t="n">
        <v>0</v>
      </c>
      <c r="J190" t="n">
        <v>0</v>
      </c>
      <c r="K190" t="n">
        <v>0</v>
      </c>
      <c r="L190" t="n">
        <v>0</v>
      </c>
      <c r="M190" t="n">
        <v>0</v>
      </c>
      <c r="N190" t="n">
        <v>0</v>
      </c>
      <c r="O190" t="n">
        <v>0</v>
      </c>
      <c r="P190" t="n">
        <v>0</v>
      </c>
      <c r="Q190" t="n">
        <v>0</v>
      </c>
      <c r="R190" s="2" t="inlineStr"/>
    </row>
    <row r="191" ht="15" customHeight="1">
      <c r="A191" t="inlineStr">
        <is>
          <t>A 28992-2024</t>
        </is>
      </c>
      <c r="B191" s="1" t="n">
        <v>45481</v>
      </c>
      <c r="C191" s="1" t="n">
        <v>46192</v>
      </c>
      <c r="D191" t="inlineStr">
        <is>
          <t>SÖDERMANLANDS LÄN</t>
        </is>
      </c>
      <c r="E191" t="inlineStr">
        <is>
          <t>KATRINEHOLM</t>
        </is>
      </c>
      <c r="G191" t="n">
        <v>2.3</v>
      </c>
      <c r="H191" t="n">
        <v>0</v>
      </c>
      <c r="I191" t="n">
        <v>0</v>
      </c>
      <c r="J191" t="n">
        <v>0</v>
      </c>
      <c r="K191" t="n">
        <v>0</v>
      </c>
      <c r="L191" t="n">
        <v>0</v>
      </c>
      <c r="M191" t="n">
        <v>0</v>
      </c>
      <c r="N191" t="n">
        <v>0</v>
      </c>
      <c r="O191" t="n">
        <v>0</v>
      </c>
      <c r="P191" t="n">
        <v>0</v>
      </c>
      <c r="Q191" t="n">
        <v>0</v>
      </c>
      <c r="R191" s="2" t="inlineStr"/>
    </row>
    <row r="192" ht="15" customHeight="1">
      <c r="A192" t="inlineStr">
        <is>
          <t>A 25433-2024</t>
        </is>
      </c>
      <c r="B192" s="1" t="n">
        <v>45463</v>
      </c>
      <c r="C192" s="1" t="n">
        <v>46192</v>
      </c>
      <c r="D192" t="inlineStr">
        <is>
          <t>SÖDERMANLANDS LÄN</t>
        </is>
      </c>
      <c r="E192" t="inlineStr">
        <is>
          <t>KATRINEHOLM</t>
        </is>
      </c>
      <c r="G192" t="n">
        <v>1.1</v>
      </c>
      <c r="H192" t="n">
        <v>0</v>
      </c>
      <c r="I192" t="n">
        <v>0</v>
      </c>
      <c r="J192" t="n">
        <v>0</v>
      </c>
      <c r="K192" t="n">
        <v>0</v>
      </c>
      <c r="L192" t="n">
        <v>0</v>
      </c>
      <c r="M192" t="n">
        <v>0</v>
      </c>
      <c r="N192" t="n">
        <v>0</v>
      </c>
      <c r="O192" t="n">
        <v>0</v>
      </c>
      <c r="P192" t="n">
        <v>0</v>
      </c>
      <c r="Q192" t="n">
        <v>0</v>
      </c>
      <c r="R192" s="2" t="inlineStr"/>
    </row>
    <row r="193" ht="15" customHeight="1">
      <c r="A193" t="inlineStr">
        <is>
          <t>A 12658-2022</t>
        </is>
      </c>
      <c r="B193" s="1" t="n">
        <v>44641</v>
      </c>
      <c r="C193" s="1" t="n">
        <v>46192</v>
      </c>
      <c r="D193" t="inlineStr">
        <is>
          <t>SÖDERMANLANDS LÄN</t>
        </is>
      </c>
      <c r="E193" t="inlineStr">
        <is>
          <t>KATRINEHOLM</t>
        </is>
      </c>
      <c r="G193" t="n">
        <v>1.4</v>
      </c>
      <c r="H193" t="n">
        <v>0</v>
      </c>
      <c r="I193" t="n">
        <v>0</v>
      </c>
      <c r="J193" t="n">
        <v>0</v>
      </c>
      <c r="K193" t="n">
        <v>0</v>
      </c>
      <c r="L193" t="n">
        <v>0</v>
      </c>
      <c r="M193" t="n">
        <v>0</v>
      </c>
      <c r="N193" t="n">
        <v>0</v>
      </c>
      <c r="O193" t="n">
        <v>0</v>
      </c>
      <c r="P193" t="n">
        <v>0</v>
      </c>
      <c r="Q193" t="n">
        <v>0</v>
      </c>
      <c r="R193" s="2" t="inlineStr"/>
    </row>
    <row r="194" ht="15" customHeight="1">
      <c r="A194" t="inlineStr">
        <is>
          <t>A 46412-2022</t>
        </is>
      </c>
      <c r="B194" s="1" t="n">
        <v>44848</v>
      </c>
      <c r="C194" s="1" t="n">
        <v>46192</v>
      </c>
      <c r="D194" t="inlineStr">
        <is>
          <t>SÖDERMANLANDS LÄN</t>
        </is>
      </c>
      <c r="E194" t="inlineStr">
        <is>
          <t>KATRINEHOLM</t>
        </is>
      </c>
      <c r="G194" t="n">
        <v>0.8</v>
      </c>
      <c r="H194" t="n">
        <v>0</v>
      </c>
      <c r="I194" t="n">
        <v>0</v>
      </c>
      <c r="J194" t="n">
        <v>0</v>
      </c>
      <c r="K194" t="n">
        <v>0</v>
      </c>
      <c r="L194" t="n">
        <v>0</v>
      </c>
      <c r="M194" t="n">
        <v>0</v>
      </c>
      <c r="N194" t="n">
        <v>0</v>
      </c>
      <c r="O194" t="n">
        <v>0</v>
      </c>
      <c r="P194" t="n">
        <v>0</v>
      </c>
      <c r="Q194" t="n">
        <v>0</v>
      </c>
      <c r="R194" s="2" t="inlineStr"/>
    </row>
    <row r="195" ht="15" customHeight="1">
      <c r="A195" t="inlineStr">
        <is>
          <t>A 6628-2022</t>
        </is>
      </c>
      <c r="B195" s="1" t="n">
        <v>44601</v>
      </c>
      <c r="C195" s="1" t="n">
        <v>46192</v>
      </c>
      <c r="D195" t="inlineStr">
        <is>
          <t>SÖDERMANLANDS LÄN</t>
        </is>
      </c>
      <c r="E195" t="inlineStr">
        <is>
          <t>KATRINEHOLM</t>
        </is>
      </c>
      <c r="G195" t="n">
        <v>0.6</v>
      </c>
      <c r="H195" t="n">
        <v>0</v>
      </c>
      <c r="I195" t="n">
        <v>0</v>
      </c>
      <c r="J195" t="n">
        <v>0</v>
      </c>
      <c r="K195" t="n">
        <v>0</v>
      </c>
      <c r="L195" t="n">
        <v>0</v>
      </c>
      <c r="M195" t="n">
        <v>0</v>
      </c>
      <c r="N195" t="n">
        <v>0</v>
      </c>
      <c r="O195" t="n">
        <v>0</v>
      </c>
      <c r="P195" t="n">
        <v>0</v>
      </c>
      <c r="Q195" t="n">
        <v>0</v>
      </c>
      <c r="R195" s="2" t="inlineStr"/>
    </row>
    <row r="196" ht="15" customHeight="1">
      <c r="A196" t="inlineStr">
        <is>
          <t>A 56572-2021</t>
        </is>
      </c>
      <c r="B196" s="1" t="n">
        <v>44480</v>
      </c>
      <c r="C196" s="1" t="n">
        <v>46192</v>
      </c>
      <c r="D196" t="inlineStr">
        <is>
          <t>SÖDERMANLANDS LÄN</t>
        </is>
      </c>
      <c r="E196" t="inlineStr">
        <is>
          <t>KATRINEHOLM</t>
        </is>
      </c>
      <c r="F196" t="inlineStr">
        <is>
          <t>Holmen skog AB</t>
        </is>
      </c>
      <c r="G196" t="n">
        <v>0.5</v>
      </c>
      <c r="H196" t="n">
        <v>0</v>
      </c>
      <c r="I196" t="n">
        <v>0</v>
      </c>
      <c r="J196" t="n">
        <v>0</v>
      </c>
      <c r="K196" t="n">
        <v>0</v>
      </c>
      <c r="L196" t="n">
        <v>0</v>
      </c>
      <c r="M196" t="n">
        <v>0</v>
      </c>
      <c r="N196" t="n">
        <v>0</v>
      </c>
      <c r="O196" t="n">
        <v>0</v>
      </c>
      <c r="P196" t="n">
        <v>0</v>
      </c>
      <c r="Q196" t="n">
        <v>0</v>
      </c>
      <c r="R196" s="2" t="inlineStr"/>
    </row>
    <row r="197" ht="15" customHeight="1">
      <c r="A197" t="inlineStr">
        <is>
          <t>A 39120-2023</t>
        </is>
      </c>
      <c r="B197" s="1" t="n">
        <v>45165</v>
      </c>
      <c r="C197" s="1" t="n">
        <v>46192</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42111-2022</t>
        </is>
      </c>
      <c r="B198" s="1" t="n">
        <v>44830</v>
      </c>
      <c r="C198" s="1" t="n">
        <v>46192</v>
      </c>
      <c r="D198" t="inlineStr">
        <is>
          <t>SÖDERMANLANDS LÄN</t>
        </is>
      </c>
      <c r="E198" t="inlineStr">
        <is>
          <t>KATRINEHOLM</t>
        </is>
      </c>
      <c r="G198" t="n">
        <v>2.5</v>
      </c>
      <c r="H198" t="n">
        <v>0</v>
      </c>
      <c r="I198" t="n">
        <v>0</v>
      </c>
      <c r="J198" t="n">
        <v>0</v>
      </c>
      <c r="K198" t="n">
        <v>0</v>
      </c>
      <c r="L198" t="n">
        <v>0</v>
      </c>
      <c r="M198" t="n">
        <v>0</v>
      </c>
      <c r="N198" t="n">
        <v>0</v>
      </c>
      <c r="O198" t="n">
        <v>0</v>
      </c>
      <c r="P198" t="n">
        <v>0</v>
      </c>
      <c r="Q198" t="n">
        <v>0</v>
      </c>
      <c r="R198" s="2" t="inlineStr"/>
    </row>
    <row r="199" ht="15" customHeight="1">
      <c r="A199" t="inlineStr">
        <is>
          <t>A 24287-2024</t>
        </is>
      </c>
      <c r="B199" s="1" t="n">
        <v>45457</v>
      </c>
      <c r="C199" s="1" t="n">
        <v>46192</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9419-2022</t>
        </is>
      </c>
      <c r="B200" s="1" t="n">
        <v>44616</v>
      </c>
      <c r="C200" s="1" t="n">
        <v>46192</v>
      </c>
      <c r="D200" t="inlineStr">
        <is>
          <t>SÖDERMANLANDS LÄN</t>
        </is>
      </c>
      <c r="E200" t="inlineStr">
        <is>
          <t>KATRINEHOLM</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51885-2022</t>
        </is>
      </c>
      <c r="B201" s="1" t="n">
        <v>44872</v>
      </c>
      <c r="C201" s="1" t="n">
        <v>46192</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42735-2022</t>
        </is>
      </c>
      <c r="B202" s="1" t="n">
        <v>44832</v>
      </c>
      <c r="C202" s="1" t="n">
        <v>46192</v>
      </c>
      <c r="D202" t="inlineStr">
        <is>
          <t>SÖDERMANLANDS LÄN</t>
        </is>
      </c>
      <c r="E202" t="inlineStr">
        <is>
          <t>KATRINEHOLM</t>
        </is>
      </c>
      <c r="G202" t="n">
        <v>0.5</v>
      </c>
      <c r="H202" t="n">
        <v>0</v>
      </c>
      <c r="I202" t="n">
        <v>0</v>
      </c>
      <c r="J202" t="n">
        <v>0</v>
      </c>
      <c r="K202" t="n">
        <v>0</v>
      </c>
      <c r="L202" t="n">
        <v>0</v>
      </c>
      <c r="M202" t="n">
        <v>0</v>
      </c>
      <c r="N202" t="n">
        <v>0</v>
      </c>
      <c r="O202" t="n">
        <v>0</v>
      </c>
      <c r="P202" t="n">
        <v>0</v>
      </c>
      <c r="Q202" t="n">
        <v>0</v>
      </c>
      <c r="R202" s="2" t="inlineStr"/>
    </row>
    <row r="203" ht="15" customHeight="1">
      <c r="A203" t="inlineStr">
        <is>
          <t>A 66801-2021</t>
        </is>
      </c>
      <c r="B203" s="1" t="n">
        <v>44522</v>
      </c>
      <c r="C203" s="1" t="n">
        <v>46192</v>
      </c>
      <c r="D203" t="inlineStr">
        <is>
          <t>SÖDERMANLANDS LÄN</t>
        </is>
      </c>
      <c r="E203" t="inlineStr">
        <is>
          <t>KATRINEHOLM</t>
        </is>
      </c>
      <c r="F203" t="inlineStr">
        <is>
          <t>Holmen skog AB</t>
        </is>
      </c>
      <c r="G203" t="n">
        <v>0.2</v>
      </c>
      <c r="H203" t="n">
        <v>0</v>
      </c>
      <c r="I203" t="n">
        <v>0</v>
      </c>
      <c r="J203" t="n">
        <v>0</v>
      </c>
      <c r="K203" t="n">
        <v>0</v>
      </c>
      <c r="L203" t="n">
        <v>0</v>
      </c>
      <c r="M203" t="n">
        <v>0</v>
      </c>
      <c r="N203" t="n">
        <v>0</v>
      </c>
      <c r="O203" t="n">
        <v>0</v>
      </c>
      <c r="P203" t="n">
        <v>0</v>
      </c>
      <c r="Q203" t="n">
        <v>0</v>
      </c>
      <c r="R203" s="2" t="inlineStr"/>
    </row>
    <row r="204" ht="15" customHeight="1">
      <c r="A204" t="inlineStr">
        <is>
          <t>A 36021-2023</t>
        </is>
      </c>
      <c r="B204" s="1" t="n">
        <v>45148</v>
      </c>
      <c r="C204" s="1" t="n">
        <v>46192</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45038-2022</t>
        </is>
      </c>
      <c r="B205" s="1" t="n">
        <v>44840</v>
      </c>
      <c r="C205" s="1" t="n">
        <v>46192</v>
      </c>
      <c r="D205" t="inlineStr">
        <is>
          <t>SÖDERMANLANDS LÄN</t>
        </is>
      </c>
      <c r="E205" t="inlineStr">
        <is>
          <t>KATRINEHOLM</t>
        </is>
      </c>
      <c r="G205" t="n">
        <v>3.6</v>
      </c>
      <c r="H205" t="n">
        <v>0</v>
      </c>
      <c r="I205" t="n">
        <v>0</v>
      </c>
      <c r="J205" t="n">
        <v>0</v>
      </c>
      <c r="K205" t="n">
        <v>0</v>
      </c>
      <c r="L205" t="n">
        <v>0</v>
      </c>
      <c r="M205" t="n">
        <v>0</v>
      </c>
      <c r="N205" t="n">
        <v>0</v>
      </c>
      <c r="O205" t="n">
        <v>0</v>
      </c>
      <c r="P205" t="n">
        <v>0</v>
      </c>
      <c r="Q205" t="n">
        <v>0</v>
      </c>
      <c r="R205" s="2" t="inlineStr"/>
    </row>
    <row r="206" ht="15" customHeight="1">
      <c r="A206" t="inlineStr">
        <is>
          <t>A 67351-2021</t>
        </is>
      </c>
      <c r="B206" s="1" t="n">
        <v>44523</v>
      </c>
      <c r="C206" s="1" t="n">
        <v>46192</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33934-2022</t>
        </is>
      </c>
      <c r="B207" s="1" t="n">
        <v>44790</v>
      </c>
      <c r="C207" s="1" t="n">
        <v>46192</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74354-2021</t>
        </is>
      </c>
      <c r="B208" s="1" t="n">
        <v>44559</v>
      </c>
      <c r="C208" s="1" t="n">
        <v>46192</v>
      </c>
      <c r="D208" t="inlineStr">
        <is>
          <t>SÖDERMANLANDS LÄN</t>
        </is>
      </c>
      <c r="E208" t="inlineStr">
        <is>
          <t>KATRINEHOLM</t>
        </is>
      </c>
      <c r="G208" t="n">
        <v>0.7</v>
      </c>
      <c r="H208" t="n">
        <v>0</v>
      </c>
      <c r="I208" t="n">
        <v>0</v>
      </c>
      <c r="J208" t="n">
        <v>0</v>
      </c>
      <c r="K208" t="n">
        <v>0</v>
      </c>
      <c r="L208" t="n">
        <v>0</v>
      </c>
      <c r="M208" t="n">
        <v>0</v>
      </c>
      <c r="N208" t="n">
        <v>0</v>
      </c>
      <c r="O208" t="n">
        <v>0</v>
      </c>
      <c r="P208" t="n">
        <v>0</v>
      </c>
      <c r="Q208" t="n">
        <v>0</v>
      </c>
      <c r="R208" s="2" t="inlineStr"/>
    </row>
    <row r="209" ht="15" customHeight="1">
      <c r="A209" t="inlineStr">
        <is>
          <t>A 24098-2022</t>
        </is>
      </c>
      <c r="B209" s="1" t="n">
        <v>44725</v>
      </c>
      <c r="C209" s="1" t="n">
        <v>46192</v>
      </c>
      <c r="D209" t="inlineStr">
        <is>
          <t>SÖDERMANLANDS LÄN</t>
        </is>
      </c>
      <c r="E209" t="inlineStr">
        <is>
          <t>KATRINEHOLM</t>
        </is>
      </c>
      <c r="G209" t="n">
        <v>1.9</v>
      </c>
      <c r="H209" t="n">
        <v>0</v>
      </c>
      <c r="I209" t="n">
        <v>0</v>
      </c>
      <c r="J209" t="n">
        <v>0</v>
      </c>
      <c r="K209" t="n">
        <v>0</v>
      </c>
      <c r="L209" t="n">
        <v>0</v>
      </c>
      <c r="M209" t="n">
        <v>0</v>
      </c>
      <c r="N209" t="n">
        <v>0</v>
      </c>
      <c r="O209" t="n">
        <v>0</v>
      </c>
      <c r="P209" t="n">
        <v>0</v>
      </c>
      <c r="Q209" t="n">
        <v>0</v>
      </c>
      <c r="R209" s="2" t="inlineStr"/>
    </row>
    <row r="210" ht="15" customHeight="1">
      <c r="A210" t="inlineStr">
        <is>
          <t>A 9699-2024</t>
        </is>
      </c>
      <c r="B210" s="1" t="n">
        <v>45362</v>
      </c>
      <c r="C210" s="1" t="n">
        <v>46192</v>
      </c>
      <c r="D210" t="inlineStr">
        <is>
          <t>SÖDERMANLANDS LÄN</t>
        </is>
      </c>
      <c r="E210" t="inlineStr">
        <is>
          <t>KATRINEHOLM</t>
        </is>
      </c>
      <c r="G210" t="n">
        <v>7.7</v>
      </c>
      <c r="H210" t="n">
        <v>0</v>
      </c>
      <c r="I210" t="n">
        <v>0</v>
      </c>
      <c r="J210" t="n">
        <v>0</v>
      </c>
      <c r="K210" t="n">
        <v>0</v>
      </c>
      <c r="L210" t="n">
        <v>0</v>
      </c>
      <c r="M210" t="n">
        <v>0</v>
      </c>
      <c r="N210" t="n">
        <v>0</v>
      </c>
      <c r="O210" t="n">
        <v>0</v>
      </c>
      <c r="P210" t="n">
        <v>0</v>
      </c>
      <c r="Q210" t="n">
        <v>0</v>
      </c>
      <c r="R210" s="2" t="inlineStr"/>
    </row>
    <row r="211" ht="15" customHeight="1">
      <c r="A211" t="inlineStr">
        <is>
          <t>A 46288-2025</t>
        </is>
      </c>
      <c r="B211" s="1" t="n">
        <v>45925</v>
      </c>
      <c r="C211" s="1" t="n">
        <v>46192</v>
      </c>
      <c r="D211" t="inlineStr">
        <is>
          <t>SÖDERMANLANDS LÄN</t>
        </is>
      </c>
      <c r="E211" t="inlineStr">
        <is>
          <t>KATRINEHOLM</t>
        </is>
      </c>
      <c r="G211" t="n">
        <v>0.4</v>
      </c>
      <c r="H211" t="n">
        <v>0</v>
      </c>
      <c r="I211" t="n">
        <v>0</v>
      </c>
      <c r="J211" t="n">
        <v>0</v>
      </c>
      <c r="K211" t="n">
        <v>0</v>
      </c>
      <c r="L211" t="n">
        <v>0</v>
      </c>
      <c r="M211" t="n">
        <v>0</v>
      </c>
      <c r="N211" t="n">
        <v>0</v>
      </c>
      <c r="O211" t="n">
        <v>0</v>
      </c>
      <c r="P211" t="n">
        <v>0</v>
      </c>
      <c r="Q211" t="n">
        <v>0</v>
      </c>
      <c r="R211" s="2" t="inlineStr"/>
    </row>
    <row r="212" ht="15" customHeight="1">
      <c r="A212" t="inlineStr">
        <is>
          <t>A 33001-2024</t>
        </is>
      </c>
      <c r="B212" s="1" t="n">
        <v>45517</v>
      </c>
      <c r="C212" s="1" t="n">
        <v>46192</v>
      </c>
      <c r="D212" t="inlineStr">
        <is>
          <t>SÖDERMANLANDS LÄN</t>
        </is>
      </c>
      <c r="E212" t="inlineStr">
        <is>
          <t>KATRINEHOLM</t>
        </is>
      </c>
      <c r="G212" t="n">
        <v>1.5</v>
      </c>
      <c r="H212" t="n">
        <v>0</v>
      </c>
      <c r="I212" t="n">
        <v>0</v>
      </c>
      <c r="J212" t="n">
        <v>0</v>
      </c>
      <c r="K212" t="n">
        <v>0</v>
      </c>
      <c r="L212" t="n">
        <v>0</v>
      </c>
      <c r="M212" t="n">
        <v>0</v>
      </c>
      <c r="N212" t="n">
        <v>0</v>
      </c>
      <c r="O212" t="n">
        <v>0</v>
      </c>
      <c r="P212" t="n">
        <v>0</v>
      </c>
      <c r="Q212" t="n">
        <v>0</v>
      </c>
      <c r="R212" s="2" t="inlineStr"/>
    </row>
    <row r="213" ht="15" customHeight="1">
      <c r="A213" t="inlineStr">
        <is>
          <t>A 40402-2022</t>
        </is>
      </c>
      <c r="B213" s="1" t="n">
        <v>44823</v>
      </c>
      <c r="C213" s="1" t="n">
        <v>46192</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10732-2022</t>
        </is>
      </c>
      <c r="B214" s="1" t="n">
        <v>44627</v>
      </c>
      <c r="C214" s="1" t="n">
        <v>46192</v>
      </c>
      <c r="D214" t="inlineStr">
        <is>
          <t>SÖDERMANLANDS LÄN</t>
        </is>
      </c>
      <c r="E214" t="inlineStr">
        <is>
          <t>KATRINEHOLM</t>
        </is>
      </c>
      <c r="G214" t="n">
        <v>2.4</v>
      </c>
      <c r="H214" t="n">
        <v>0</v>
      </c>
      <c r="I214" t="n">
        <v>0</v>
      </c>
      <c r="J214" t="n">
        <v>0</v>
      </c>
      <c r="K214" t="n">
        <v>0</v>
      </c>
      <c r="L214" t="n">
        <v>0</v>
      </c>
      <c r="M214" t="n">
        <v>0</v>
      </c>
      <c r="N214" t="n">
        <v>0</v>
      </c>
      <c r="O214" t="n">
        <v>0</v>
      </c>
      <c r="P214" t="n">
        <v>0</v>
      </c>
      <c r="Q214" t="n">
        <v>0</v>
      </c>
      <c r="R214" s="2" t="inlineStr"/>
    </row>
    <row r="215" ht="15" customHeight="1">
      <c r="A215" t="inlineStr">
        <is>
          <t>A 27334-2023</t>
        </is>
      </c>
      <c r="B215" s="1" t="n">
        <v>45096</v>
      </c>
      <c r="C215" s="1" t="n">
        <v>46192</v>
      </c>
      <c r="D215" t="inlineStr">
        <is>
          <t>SÖDERMANLANDS LÄN</t>
        </is>
      </c>
      <c r="E215" t="inlineStr">
        <is>
          <t>KATRINEHOLM</t>
        </is>
      </c>
      <c r="G215" t="n">
        <v>1.6</v>
      </c>
      <c r="H215" t="n">
        <v>0</v>
      </c>
      <c r="I215" t="n">
        <v>0</v>
      </c>
      <c r="J215" t="n">
        <v>0</v>
      </c>
      <c r="K215" t="n">
        <v>0</v>
      </c>
      <c r="L215" t="n">
        <v>0</v>
      </c>
      <c r="M215" t="n">
        <v>0</v>
      </c>
      <c r="N215" t="n">
        <v>0</v>
      </c>
      <c r="O215" t="n">
        <v>0</v>
      </c>
      <c r="P215" t="n">
        <v>0</v>
      </c>
      <c r="Q215" t="n">
        <v>0</v>
      </c>
      <c r="R215" s="2" t="inlineStr"/>
    </row>
    <row r="216" ht="15" customHeight="1">
      <c r="A216" t="inlineStr">
        <is>
          <t>A 48259-2022</t>
        </is>
      </c>
      <c r="B216" s="1" t="n">
        <v>44858</v>
      </c>
      <c r="C216" s="1" t="n">
        <v>46192</v>
      </c>
      <c r="D216" t="inlineStr">
        <is>
          <t>SÖDERMANLANDS LÄN</t>
        </is>
      </c>
      <c r="E216" t="inlineStr">
        <is>
          <t>KATRINEHOLM</t>
        </is>
      </c>
      <c r="G216" t="n">
        <v>3.5</v>
      </c>
      <c r="H216" t="n">
        <v>0</v>
      </c>
      <c r="I216" t="n">
        <v>0</v>
      </c>
      <c r="J216" t="n">
        <v>0</v>
      </c>
      <c r="K216" t="n">
        <v>0</v>
      </c>
      <c r="L216" t="n">
        <v>0</v>
      </c>
      <c r="M216" t="n">
        <v>0</v>
      </c>
      <c r="N216" t="n">
        <v>0</v>
      </c>
      <c r="O216" t="n">
        <v>0</v>
      </c>
      <c r="P216" t="n">
        <v>0</v>
      </c>
      <c r="Q216" t="n">
        <v>0</v>
      </c>
      <c r="R216" s="2" t="inlineStr"/>
    </row>
    <row r="217" ht="15" customHeight="1">
      <c r="A217" t="inlineStr">
        <is>
          <t>A 7704-2023</t>
        </is>
      </c>
      <c r="B217" s="1" t="n">
        <v>44968</v>
      </c>
      <c r="C217" s="1" t="n">
        <v>46192</v>
      </c>
      <c r="D217" t="inlineStr">
        <is>
          <t>SÖDERMANLANDS LÄN</t>
        </is>
      </c>
      <c r="E217" t="inlineStr">
        <is>
          <t>KATRINEHOLM</t>
        </is>
      </c>
      <c r="G217" t="n">
        <v>7.3</v>
      </c>
      <c r="H217" t="n">
        <v>0</v>
      </c>
      <c r="I217" t="n">
        <v>0</v>
      </c>
      <c r="J217" t="n">
        <v>0</v>
      </c>
      <c r="K217" t="n">
        <v>0</v>
      </c>
      <c r="L217" t="n">
        <v>0</v>
      </c>
      <c r="M217" t="n">
        <v>0</v>
      </c>
      <c r="N217" t="n">
        <v>0</v>
      </c>
      <c r="O217" t="n">
        <v>0</v>
      </c>
      <c r="P217" t="n">
        <v>0</v>
      </c>
      <c r="Q217" t="n">
        <v>0</v>
      </c>
      <c r="R217" s="2" t="inlineStr"/>
    </row>
    <row r="218" ht="15" customHeight="1">
      <c r="A218" t="inlineStr">
        <is>
          <t>A 55034-2021</t>
        </is>
      </c>
      <c r="B218" s="1" t="n">
        <v>44474</v>
      </c>
      <c r="C218" s="1" t="n">
        <v>46192</v>
      </c>
      <c r="D218" t="inlineStr">
        <is>
          <t>SÖDERMANLANDS LÄN</t>
        </is>
      </c>
      <c r="E218" t="inlineStr">
        <is>
          <t>KATRINEHOLM</t>
        </is>
      </c>
      <c r="G218" t="n">
        <v>5</v>
      </c>
      <c r="H218" t="n">
        <v>0</v>
      </c>
      <c r="I218" t="n">
        <v>0</v>
      </c>
      <c r="J218" t="n">
        <v>0</v>
      </c>
      <c r="K218" t="n">
        <v>0</v>
      </c>
      <c r="L218" t="n">
        <v>0</v>
      </c>
      <c r="M218" t="n">
        <v>0</v>
      </c>
      <c r="N218" t="n">
        <v>0</v>
      </c>
      <c r="O218" t="n">
        <v>0</v>
      </c>
      <c r="P218" t="n">
        <v>0</v>
      </c>
      <c r="Q218" t="n">
        <v>0</v>
      </c>
      <c r="R218" s="2" t="inlineStr"/>
    </row>
    <row r="219" ht="15" customHeight="1">
      <c r="A219" t="inlineStr">
        <is>
          <t>A 29397-2024</t>
        </is>
      </c>
      <c r="B219" s="1" t="n">
        <v>45483</v>
      </c>
      <c r="C219" s="1" t="n">
        <v>46192</v>
      </c>
      <c r="D219" t="inlineStr">
        <is>
          <t>SÖDERMANLANDS LÄN</t>
        </is>
      </c>
      <c r="E219" t="inlineStr">
        <is>
          <t>KATRINEHOLM</t>
        </is>
      </c>
      <c r="G219" t="n">
        <v>3.4</v>
      </c>
      <c r="H219" t="n">
        <v>0</v>
      </c>
      <c r="I219" t="n">
        <v>0</v>
      </c>
      <c r="J219" t="n">
        <v>0</v>
      </c>
      <c r="K219" t="n">
        <v>0</v>
      </c>
      <c r="L219" t="n">
        <v>0</v>
      </c>
      <c r="M219" t="n">
        <v>0</v>
      </c>
      <c r="N219" t="n">
        <v>0</v>
      </c>
      <c r="O219" t="n">
        <v>0</v>
      </c>
      <c r="P219" t="n">
        <v>0</v>
      </c>
      <c r="Q219" t="n">
        <v>0</v>
      </c>
      <c r="R219" s="2" t="inlineStr"/>
    </row>
    <row r="220" ht="15" customHeight="1">
      <c r="A220" t="inlineStr">
        <is>
          <t>A 14478-2023</t>
        </is>
      </c>
      <c r="B220" s="1" t="n">
        <v>45012</v>
      </c>
      <c r="C220" s="1" t="n">
        <v>46192</v>
      </c>
      <c r="D220" t="inlineStr">
        <is>
          <t>SÖDERMANLANDS LÄN</t>
        </is>
      </c>
      <c r="E220" t="inlineStr">
        <is>
          <t>KATRINEHOLM</t>
        </is>
      </c>
      <c r="G220" t="n">
        <v>3.9</v>
      </c>
      <c r="H220" t="n">
        <v>0</v>
      </c>
      <c r="I220" t="n">
        <v>0</v>
      </c>
      <c r="J220" t="n">
        <v>0</v>
      </c>
      <c r="K220" t="n">
        <v>0</v>
      </c>
      <c r="L220" t="n">
        <v>0</v>
      </c>
      <c r="M220" t="n">
        <v>0</v>
      </c>
      <c r="N220" t="n">
        <v>0</v>
      </c>
      <c r="O220" t="n">
        <v>0</v>
      </c>
      <c r="P220" t="n">
        <v>0</v>
      </c>
      <c r="Q220" t="n">
        <v>0</v>
      </c>
      <c r="R220" s="2" t="inlineStr"/>
    </row>
    <row r="221" ht="15" customHeight="1">
      <c r="A221" t="inlineStr">
        <is>
          <t>A 39055-2022</t>
        </is>
      </c>
      <c r="B221" s="1" t="n">
        <v>44817</v>
      </c>
      <c r="C221" s="1" t="n">
        <v>46192</v>
      </c>
      <c r="D221" t="inlineStr">
        <is>
          <t>SÖDERMANLANDS LÄN</t>
        </is>
      </c>
      <c r="E221" t="inlineStr">
        <is>
          <t>KATRINEHOLM</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7056-2022</t>
        </is>
      </c>
      <c r="B222" s="1" t="n">
        <v>44603</v>
      </c>
      <c r="C222" s="1" t="n">
        <v>46192</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6807-2023</t>
        </is>
      </c>
      <c r="B223" s="1" t="n">
        <v>44964</v>
      </c>
      <c r="C223" s="1" t="n">
        <v>46192</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24179-2024</t>
        </is>
      </c>
      <c r="B224" s="1" t="n">
        <v>45456</v>
      </c>
      <c r="C224" s="1" t="n">
        <v>46192</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39663-2025</t>
        </is>
      </c>
      <c r="B225" s="1" t="n">
        <v>45890</v>
      </c>
      <c r="C225" s="1" t="n">
        <v>46192</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39645-2025</t>
        </is>
      </c>
      <c r="B226" s="1" t="n">
        <v>45890</v>
      </c>
      <c r="C226" s="1" t="n">
        <v>46192</v>
      </c>
      <c r="D226" t="inlineStr">
        <is>
          <t>SÖDERMANLANDS LÄN</t>
        </is>
      </c>
      <c r="E226" t="inlineStr">
        <is>
          <t>KATRINEHOLM</t>
        </is>
      </c>
      <c r="G226" t="n">
        <v>0.2</v>
      </c>
      <c r="H226" t="n">
        <v>0</v>
      </c>
      <c r="I226" t="n">
        <v>0</v>
      </c>
      <c r="J226" t="n">
        <v>0</v>
      </c>
      <c r="K226" t="n">
        <v>0</v>
      </c>
      <c r="L226" t="n">
        <v>0</v>
      </c>
      <c r="M226" t="n">
        <v>0</v>
      </c>
      <c r="N226" t="n">
        <v>0</v>
      </c>
      <c r="O226" t="n">
        <v>0</v>
      </c>
      <c r="P226" t="n">
        <v>0</v>
      </c>
      <c r="Q226" t="n">
        <v>0</v>
      </c>
      <c r="R226" s="2" t="inlineStr"/>
    </row>
    <row r="227" ht="15" customHeight="1">
      <c r="A227" t="inlineStr">
        <is>
          <t>A 30276-2023</t>
        </is>
      </c>
      <c r="B227" s="1" t="n">
        <v>45110</v>
      </c>
      <c r="C227" s="1" t="n">
        <v>46192</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42791-2023</t>
        </is>
      </c>
      <c r="B228" s="1" t="n">
        <v>45181</v>
      </c>
      <c r="C228" s="1" t="n">
        <v>46192</v>
      </c>
      <c r="D228" t="inlineStr">
        <is>
          <t>SÖDERMANLANDS LÄN</t>
        </is>
      </c>
      <c r="E228" t="inlineStr">
        <is>
          <t>KATRINEHOLM</t>
        </is>
      </c>
      <c r="G228" t="n">
        <v>4.1</v>
      </c>
      <c r="H228" t="n">
        <v>0</v>
      </c>
      <c r="I228" t="n">
        <v>0</v>
      </c>
      <c r="J228" t="n">
        <v>0</v>
      </c>
      <c r="K228" t="n">
        <v>0</v>
      </c>
      <c r="L228" t="n">
        <v>0</v>
      </c>
      <c r="M228" t="n">
        <v>0</v>
      </c>
      <c r="N228" t="n">
        <v>0</v>
      </c>
      <c r="O228" t="n">
        <v>0</v>
      </c>
      <c r="P228" t="n">
        <v>0</v>
      </c>
      <c r="Q228" t="n">
        <v>0</v>
      </c>
      <c r="R228" s="2" t="inlineStr"/>
    </row>
    <row r="229" ht="15" customHeight="1">
      <c r="A229" t="inlineStr">
        <is>
          <t>A 42792-2023</t>
        </is>
      </c>
      <c r="B229" s="1" t="n">
        <v>45181</v>
      </c>
      <c r="C229" s="1" t="n">
        <v>46192</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32786-2022</t>
        </is>
      </c>
      <c r="B230" s="1" t="n">
        <v>44784</v>
      </c>
      <c r="C230" s="1" t="n">
        <v>46192</v>
      </c>
      <c r="D230" t="inlineStr">
        <is>
          <t>SÖDERMANLANDS LÄN</t>
        </is>
      </c>
      <c r="E230" t="inlineStr">
        <is>
          <t>KATRINEHOLM</t>
        </is>
      </c>
      <c r="G230" t="n">
        <v>7</v>
      </c>
      <c r="H230" t="n">
        <v>0</v>
      </c>
      <c r="I230" t="n">
        <v>0</v>
      </c>
      <c r="J230" t="n">
        <v>0</v>
      </c>
      <c r="K230" t="n">
        <v>0</v>
      </c>
      <c r="L230" t="n">
        <v>0</v>
      </c>
      <c r="M230" t="n">
        <v>0</v>
      </c>
      <c r="N230" t="n">
        <v>0</v>
      </c>
      <c r="O230" t="n">
        <v>0</v>
      </c>
      <c r="P230" t="n">
        <v>0</v>
      </c>
      <c r="Q230" t="n">
        <v>0</v>
      </c>
      <c r="R230" s="2" t="inlineStr"/>
    </row>
    <row r="231" ht="15" customHeight="1">
      <c r="A231" t="inlineStr">
        <is>
          <t>A 42025-2022</t>
        </is>
      </c>
      <c r="B231" s="1" t="n">
        <v>44830</v>
      </c>
      <c r="C231" s="1" t="n">
        <v>46192</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13658-2023</t>
        </is>
      </c>
      <c r="B232" s="1" t="n">
        <v>45006</v>
      </c>
      <c r="C232" s="1" t="n">
        <v>46192</v>
      </c>
      <c r="D232" t="inlineStr">
        <is>
          <t>SÖDERMANLANDS LÄN</t>
        </is>
      </c>
      <c r="E232" t="inlineStr">
        <is>
          <t>KATRINEHOLM</t>
        </is>
      </c>
      <c r="F232" t="inlineStr">
        <is>
          <t>Kyrkan</t>
        </is>
      </c>
      <c r="G232" t="n">
        <v>24.3</v>
      </c>
      <c r="H232" t="n">
        <v>0</v>
      </c>
      <c r="I232" t="n">
        <v>0</v>
      </c>
      <c r="J232" t="n">
        <v>0</v>
      </c>
      <c r="K232" t="n">
        <v>0</v>
      </c>
      <c r="L232" t="n">
        <v>0</v>
      </c>
      <c r="M232" t="n">
        <v>0</v>
      </c>
      <c r="N232" t="n">
        <v>0</v>
      </c>
      <c r="O232" t="n">
        <v>0</v>
      </c>
      <c r="P232" t="n">
        <v>0</v>
      </c>
      <c r="Q232" t="n">
        <v>0</v>
      </c>
      <c r="R232" s="2" t="inlineStr"/>
    </row>
    <row r="233" ht="15" customHeight="1">
      <c r="A233" t="inlineStr">
        <is>
          <t>A 7459-2022</t>
        </is>
      </c>
      <c r="B233" s="1" t="n">
        <v>44607</v>
      </c>
      <c r="C233" s="1" t="n">
        <v>46192</v>
      </c>
      <c r="D233" t="inlineStr">
        <is>
          <t>SÖDERMANLANDS LÄN</t>
        </is>
      </c>
      <c r="E233" t="inlineStr">
        <is>
          <t>KATRINEHOLM</t>
        </is>
      </c>
      <c r="G233" t="n">
        <v>2</v>
      </c>
      <c r="H233" t="n">
        <v>0</v>
      </c>
      <c r="I233" t="n">
        <v>0</v>
      </c>
      <c r="J233" t="n">
        <v>0</v>
      </c>
      <c r="K233" t="n">
        <v>0</v>
      </c>
      <c r="L233" t="n">
        <v>0</v>
      </c>
      <c r="M233" t="n">
        <v>0</v>
      </c>
      <c r="N233" t="n">
        <v>0</v>
      </c>
      <c r="O233" t="n">
        <v>0</v>
      </c>
      <c r="P233" t="n">
        <v>0</v>
      </c>
      <c r="Q233" t="n">
        <v>0</v>
      </c>
      <c r="R233" s="2" t="inlineStr"/>
    </row>
    <row r="234" ht="15" customHeight="1">
      <c r="A234" t="inlineStr">
        <is>
          <t>A 32890-2024</t>
        </is>
      </c>
      <c r="B234" s="1" t="n">
        <v>45516</v>
      </c>
      <c r="C234" s="1" t="n">
        <v>46192</v>
      </c>
      <c r="D234" t="inlineStr">
        <is>
          <t>SÖDERMANLANDS LÄN</t>
        </is>
      </c>
      <c r="E234" t="inlineStr">
        <is>
          <t>KATRINEHOLM</t>
        </is>
      </c>
      <c r="G234" t="n">
        <v>2.6</v>
      </c>
      <c r="H234" t="n">
        <v>0</v>
      </c>
      <c r="I234" t="n">
        <v>0</v>
      </c>
      <c r="J234" t="n">
        <v>0</v>
      </c>
      <c r="K234" t="n">
        <v>0</v>
      </c>
      <c r="L234" t="n">
        <v>0</v>
      </c>
      <c r="M234" t="n">
        <v>0</v>
      </c>
      <c r="N234" t="n">
        <v>0</v>
      </c>
      <c r="O234" t="n">
        <v>0</v>
      </c>
      <c r="P234" t="n">
        <v>0</v>
      </c>
      <c r="Q234" t="n">
        <v>0</v>
      </c>
      <c r="R234" s="2" t="inlineStr"/>
    </row>
    <row r="235" ht="15" customHeight="1">
      <c r="A235" t="inlineStr">
        <is>
          <t>A 39704-2023</t>
        </is>
      </c>
      <c r="B235" s="1" t="n">
        <v>45167</v>
      </c>
      <c r="C235" s="1" t="n">
        <v>46192</v>
      </c>
      <c r="D235" t="inlineStr">
        <is>
          <t>SÖDERMANLANDS LÄN</t>
        </is>
      </c>
      <c r="E235" t="inlineStr">
        <is>
          <t>KATRINEHOLM</t>
        </is>
      </c>
      <c r="F235" t="inlineStr">
        <is>
          <t>Övriga Aktiebolag</t>
        </is>
      </c>
      <c r="G235" t="n">
        <v>3.4</v>
      </c>
      <c r="H235" t="n">
        <v>0</v>
      </c>
      <c r="I235" t="n">
        <v>0</v>
      </c>
      <c r="J235" t="n">
        <v>0</v>
      </c>
      <c r="K235" t="n">
        <v>0</v>
      </c>
      <c r="L235" t="n">
        <v>0</v>
      </c>
      <c r="M235" t="n">
        <v>0</v>
      </c>
      <c r="N235" t="n">
        <v>0</v>
      </c>
      <c r="O235" t="n">
        <v>0</v>
      </c>
      <c r="P235" t="n">
        <v>0</v>
      </c>
      <c r="Q235" t="n">
        <v>0</v>
      </c>
      <c r="R235" s="2" t="inlineStr"/>
    </row>
    <row r="236" ht="15" customHeight="1">
      <c r="A236" t="inlineStr">
        <is>
          <t>A 15235-2023</t>
        </is>
      </c>
      <c r="B236" s="1" t="n">
        <v>45019</v>
      </c>
      <c r="C236" s="1" t="n">
        <v>46192</v>
      </c>
      <c r="D236" t="inlineStr">
        <is>
          <t>SÖDERMANLANDS LÄN</t>
        </is>
      </c>
      <c r="E236" t="inlineStr">
        <is>
          <t>KATRINEHOLM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49341-2024</t>
        </is>
      </c>
      <c r="B237" s="1" t="n">
        <v>45595</v>
      </c>
      <c r="C237" s="1" t="n">
        <v>46192</v>
      </c>
      <c r="D237" t="inlineStr">
        <is>
          <t>SÖDERMANLANDS LÄN</t>
        </is>
      </c>
      <c r="E237" t="inlineStr">
        <is>
          <t>KATRINEHOLM</t>
        </is>
      </c>
      <c r="G237" t="n">
        <v>10</v>
      </c>
      <c r="H237" t="n">
        <v>0</v>
      </c>
      <c r="I237" t="n">
        <v>0</v>
      </c>
      <c r="J237" t="n">
        <v>0</v>
      </c>
      <c r="K237" t="n">
        <v>0</v>
      </c>
      <c r="L237" t="n">
        <v>0</v>
      </c>
      <c r="M237" t="n">
        <v>0</v>
      </c>
      <c r="N237" t="n">
        <v>0</v>
      </c>
      <c r="O237" t="n">
        <v>0</v>
      </c>
      <c r="P237" t="n">
        <v>0</v>
      </c>
      <c r="Q237" t="n">
        <v>0</v>
      </c>
      <c r="R237" s="2" t="inlineStr"/>
    </row>
    <row r="238" ht="15" customHeight="1">
      <c r="A238" t="inlineStr">
        <is>
          <t>A 24748-2024</t>
        </is>
      </c>
      <c r="B238" s="1" t="n">
        <v>45460</v>
      </c>
      <c r="C238" s="1" t="n">
        <v>46192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42896-2024</t>
        </is>
      </c>
      <c r="B239" s="1" t="n">
        <v>45566</v>
      </c>
      <c r="C239" s="1" t="n">
        <v>46192</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44915-2022</t>
        </is>
      </c>
      <c r="B240" s="1" t="n">
        <v>44840</v>
      </c>
      <c r="C240" s="1" t="n">
        <v>46192</v>
      </c>
      <c r="D240" t="inlineStr">
        <is>
          <t>SÖDERMANLANDS LÄN</t>
        </is>
      </c>
      <c r="E240" t="inlineStr">
        <is>
          <t>KATRINEHOLM</t>
        </is>
      </c>
      <c r="G240" t="n">
        <v>6.3</v>
      </c>
      <c r="H240" t="n">
        <v>0</v>
      </c>
      <c r="I240" t="n">
        <v>0</v>
      </c>
      <c r="J240" t="n">
        <v>0</v>
      </c>
      <c r="K240" t="n">
        <v>0</v>
      </c>
      <c r="L240" t="n">
        <v>0</v>
      </c>
      <c r="M240" t="n">
        <v>0</v>
      </c>
      <c r="N240" t="n">
        <v>0</v>
      </c>
      <c r="O240" t="n">
        <v>0</v>
      </c>
      <c r="P240" t="n">
        <v>0</v>
      </c>
      <c r="Q240" t="n">
        <v>0</v>
      </c>
      <c r="R240" s="2" t="inlineStr"/>
    </row>
    <row r="241" ht="15" customHeight="1">
      <c r="A241" t="inlineStr">
        <is>
          <t>A 29008-2024</t>
        </is>
      </c>
      <c r="B241" s="1" t="n">
        <v>45481</v>
      </c>
      <c r="C241" s="1" t="n">
        <v>46192</v>
      </c>
      <c r="D241" t="inlineStr">
        <is>
          <t>SÖDERMANLANDS LÄN</t>
        </is>
      </c>
      <c r="E241" t="inlineStr">
        <is>
          <t>KATRINEHOLM</t>
        </is>
      </c>
      <c r="G241" t="n">
        <v>1.7</v>
      </c>
      <c r="H241" t="n">
        <v>0</v>
      </c>
      <c r="I241" t="n">
        <v>0</v>
      </c>
      <c r="J241" t="n">
        <v>0</v>
      </c>
      <c r="K241" t="n">
        <v>0</v>
      </c>
      <c r="L241" t="n">
        <v>0</v>
      </c>
      <c r="M241" t="n">
        <v>0</v>
      </c>
      <c r="N241" t="n">
        <v>0</v>
      </c>
      <c r="O241" t="n">
        <v>0</v>
      </c>
      <c r="P241" t="n">
        <v>0</v>
      </c>
      <c r="Q241" t="n">
        <v>0</v>
      </c>
      <c r="R241" s="2" t="inlineStr"/>
    </row>
    <row r="242" ht="15" customHeight="1">
      <c r="A242" t="inlineStr">
        <is>
          <t>A 62419-2023</t>
        </is>
      </c>
      <c r="B242" s="1" t="n">
        <v>45268</v>
      </c>
      <c r="C242" s="1" t="n">
        <v>46192</v>
      </c>
      <c r="D242" t="inlineStr">
        <is>
          <t>SÖDERMANLANDS LÄN</t>
        </is>
      </c>
      <c r="E242" t="inlineStr">
        <is>
          <t>KATRINEHOLM</t>
        </is>
      </c>
      <c r="G242" t="n">
        <v>9</v>
      </c>
      <c r="H242" t="n">
        <v>0</v>
      </c>
      <c r="I242" t="n">
        <v>0</v>
      </c>
      <c r="J242" t="n">
        <v>0</v>
      </c>
      <c r="K242" t="n">
        <v>0</v>
      </c>
      <c r="L242" t="n">
        <v>0</v>
      </c>
      <c r="M242" t="n">
        <v>0</v>
      </c>
      <c r="N242" t="n">
        <v>0</v>
      </c>
      <c r="O242" t="n">
        <v>0</v>
      </c>
      <c r="P242" t="n">
        <v>0</v>
      </c>
      <c r="Q242" t="n">
        <v>0</v>
      </c>
      <c r="R242" s="2" t="inlineStr"/>
    </row>
    <row r="243" ht="15" customHeight="1">
      <c r="A243" t="inlineStr">
        <is>
          <t>A 50934-2025</t>
        </is>
      </c>
      <c r="B243" s="1" t="n">
        <v>45946</v>
      </c>
      <c r="C243" s="1" t="n">
        <v>46192</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53722-2023</t>
        </is>
      </c>
      <c r="B244" s="1" t="n">
        <v>45230</v>
      </c>
      <c r="C244" s="1" t="n">
        <v>46192</v>
      </c>
      <c r="D244" t="inlineStr">
        <is>
          <t>SÖDERMANLANDS LÄN</t>
        </is>
      </c>
      <c r="E244" t="inlineStr">
        <is>
          <t>KATRINEHOLM</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51783-2025</t>
        </is>
      </c>
      <c r="B245" s="1" t="n">
        <v>45951</v>
      </c>
      <c r="C245" s="1" t="n">
        <v>46192</v>
      </c>
      <c r="D245" t="inlineStr">
        <is>
          <t>SÖDERMANLANDS LÄN</t>
        </is>
      </c>
      <c r="E245" t="inlineStr">
        <is>
          <t>KATRINEHOLM</t>
        </is>
      </c>
      <c r="F245" t="inlineStr">
        <is>
          <t>Allmännings- och besparingsskogar</t>
        </is>
      </c>
      <c r="G245" t="n">
        <v>5.8</v>
      </c>
      <c r="H245" t="n">
        <v>0</v>
      </c>
      <c r="I245" t="n">
        <v>0</v>
      </c>
      <c r="J245" t="n">
        <v>0</v>
      </c>
      <c r="K245" t="n">
        <v>0</v>
      </c>
      <c r="L245" t="n">
        <v>0</v>
      </c>
      <c r="M245" t="n">
        <v>0</v>
      </c>
      <c r="N245" t="n">
        <v>0</v>
      </c>
      <c r="O245" t="n">
        <v>0</v>
      </c>
      <c r="P245" t="n">
        <v>0</v>
      </c>
      <c r="Q245" t="n">
        <v>0</v>
      </c>
      <c r="R245" s="2" t="inlineStr"/>
    </row>
    <row r="246" ht="15" customHeight="1">
      <c r="A246" t="inlineStr">
        <is>
          <t>A 45793-2022</t>
        </is>
      </c>
      <c r="B246" s="1" t="n">
        <v>44844</v>
      </c>
      <c r="C246" s="1" t="n">
        <v>46192</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51367-2025</t>
        </is>
      </c>
      <c r="B247" s="1" t="n">
        <v>45950</v>
      </c>
      <c r="C247" s="1" t="n">
        <v>46192</v>
      </c>
      <c r="D247" t="inlineStr">
        <is>
          <t>SÖDERMANLANDS LÄN</t>
        </is>
      </c>
      <c r="E247" t="inlineStr">
        <is>
          <t>KATRINEHOLM</t>
        </is>
      </c>
      <c r="G247" t="n">
        <v>2.7</v>
      </c>
      <c r="H247" t="n">
        <v>0</v>
      </c>
      <c r="I247" t="n">
        <v>0</v>
      </c>
      <c r="J247" t="n">
        <v>0</v>
      </c>
      <c r="K247" t="n">
        <v>0</v>
      </c>
      <c r="L247" t="n">
        <v>0</v>
      </c>
      <c r="M247" t="n">
        <v>0</v>
      </c>
      <c r="N247" t="n">
        <v>0</v>
      </c>
      <c r="O247" t="n">
        <v>0</v>
      </c>
      <c r="P247" t="n">
        <v>0</v>
      </c>
      <c r="Q247" t="n">
        <v>0</v>
      </c>
      <c r="R247" s="2" t="inlineStr"/>
    </row>
    <row r="248" ht="15" customHeight="1">
      <c r="A248" t="inlineStr">
        <is>
          <t>A 51780-2025</t>
        </is>
      </c>
      <c r="B248" s="1" t="n">
        <v>45951</v>
      </c>
      <c r="C248" s="1" t="n">
        <v>46192</v>
      </c>
      <c r="D248" t="inlineStr">
        <is>
          <t>SÖDERMANLANDS LÄN</t>
        </is>
      </c>
      <c r="E248" t="inlineStr">
        <is>
          <t>KATRINEHOLM</t>
        </is>
      </c>
      <c r="F248" t="inlineStr">
        <is>
          <t>Allmännings- och besparingsskogar</t>
        </is>
      </c>
      <c r="G248" t="n">
        <v>1.3</v>
      </c>
      <c r="H248" t="n">
        <v>0</v>
      </c>
      <c r="I248" t="n">
        <v>0</v>
      </c>
      <c r="J248" t="n">
        <v>0</v>
      </c>
      <c r="K248" t="n">
        <v>0</v>
      </c>
      <c r="L248" t="n">
        <v>0</v>
      </c>
      <c r="M248" t="n">
        <v>0</v>
      </c>
      <c r="N248" t="n">
        <v>0</v>
      </c>
      <c r="O248" t="n">
        <v>0</v>
      </c>
      <c r="P248" t="n">
        <v>0</v>
      </c>
      <c r="Q248" t="n">
        <v>0</v>
      </c>
      <c r="R248" s="2" t="inlineStr"/>
    </row>
    <row r="249" ht="15" customHeight="1">
      <c r="A249" t="inlineStr">
        <is>
          <t>A 38869-2024</t>
        </is>
      </c>
      <c r="B249" s="1" t="n">
        <v>45547</v>
      </c>
      <c r="C249" s="1" t="n">
        <v>46192</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20214-2025</t>
        </is>
      </c>
      <c r="B250" s="1" t="n">
        <v>45772</v>
      </c>
      <c r="C250" s="1" t="n">
        <v>46192</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62140-2022</t>
        </is>
      </c>
      <c r="B251" s="1" t="n">
        <v>44922</v>
      </c>
      <c r="C251" s="1" t="n">
        <v>46192</v>
      </c>
      <c r="D251" t="inlineStr">
        <is>
          <t>SÖDERMANLANDS LÄN</t>
        </is>
      </c>
      <c r="E251" t="inlineStr">
        <is>
          <t>KATRINEHOLM</t>
        </is>
      </c>
      <c r="F251" t="inlineStr">
        <is>
          <t>Övriga Aktiebolag</t>
        </is>
      </c>
      <c r="G251" t="n">
        <v>2.4</v>
      </c>
      <c r="H251" t="n">
        <v>0</v>
      </c>
      <c r="I251" t="n">
        <v>0</v>
      </c>
      <c r="J251" t="n">
        <v>0</v>
      </c>
      <c r="K251" t="n">
        <v>0</v>
      </c>
      <c r="L251" t="n">
        <v>0</v>
      </c>
      <c r="M251" t="n">
        <v>0</v>
      </c>
      <c r="N251" t="n">
        <v>0</v>
      </c>
      <c r="O251" t="n">
        <v>0</v>
      </c>
      <c r="P251" t="n">
        <v>0</v>
      </c>
      <c r="Q251" t="n">
        <v>0</v>
      </c>
      <c r="R251" s="2" t="inlineStr"/>
    </row>
    <row r="252" ht="15" customHeight="1">
      <c r="A252" t="inlineStr">
        <is>
          <t>A 52239-2025</t>
        </is>
      </c>
      <c r="B252" s="1" t="n">
        <v>45953</v>
      </c>
      <c r="C252" s="1" t="n">
        <v>46192</v>
      </c>
      <c r="D252" t="inlineStr">
        <is>
          <t>SÖDERMANLANDS LÄN</t>
        </is>
      </c>
      <c r="E252" t="inlineStr">
        <is>
          <t>KATRINEHOLM</t>
        </is>
      </c>
      <c r="G252" t="n">
        <v>0.7</v>
      </c>
      <c r="H252" t="n">
        <v>0</v>
      </c>
      <c r="I252" t="n">
        <v>0</v>
      </c>
      <c r="J252" t="n">
        <v>0</v>
      </c>
      <c r="K252" t="n">
        <v>0</v>
      </c>
      <c r="L252" t="n">
        <v>0</v>
      </c>
      <c r="M252" t="n">
        <v>0</v>
      </c>
      <c r="N252" t="n">
        <v>0</v>
      </c>
      <c r="O252" t="n">
        <v>0</v>
      </c>
      <c r="P252" t="n">
        <v>0</v>
      </c>
      <c r="Q252" t="n">
        <v>0</v>
      </c>
      <c r="R252" s="2" t="inlineStr"/>
    </row>
    <row r="253" ht="15" customHeight="1">
      <c r="A253" t="inlineStr">
        <is>
          <t>A 45438-2021</t>
        </is>
      </c>
      <c r="B253" s="1" t="n">
        <v>44440</v>
      </c>
      <c r="C253" s="1" t="n">
        <v>46192</v>
      </c>
      <c r="D253" t="inlineStr">
        <is>
          <t>SÖDERMANLANDS LÄN</t>
        </is>
      </c>
      <c r="E253" t="inlineStr">
        <is>
          <t>KATRINEHOLM</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7867-2024</t>
        </is>
      </c>
      <c r="B254" s="1" t="n">
        <v>45350</v>
      </c>
      <c r="C254" s="1" t="n">
        <v>46192</v>
      </c>
      <c r="D254" t="inlineStr">
        <is>
          <t>SÖDERMANLANDS LÄN</t>
        </is>
      </c>
      <c r="E254" t="inlineStr">
        <is>
          <t>KATRINEHOLM</t>
        </is>
      </c>
      <c r="F254" t="inlineStr">
        <is>
          <t>Kyrkan</t>
        </is>
      </c>
      <c r="G254" t="n">
        <v>3.3</v>
      </c>
      <c r="H254" t="n">
        <v>0</v>
      </c>
      <c r="I254" t="n">
        <v>0</v>
      </c>
      <c r="J254" t="n">
        <v>0</v>
      </c>
      <c r="K254" t="n">
        <v>0</v>
      </c>
      <c r="L254" t="n">
        <v>0</v>
      </c>
      <c r="M254" t="n">
        <v>0</v>
      </c>
      <c r="N254" t="n">
        <v>0</v>
      </c>
      <c r="O254" t="n">
        <v>0</v>
      </c>
      <c r="P254" t="n">
        <v>0</v>
      </c>
      <c r="Q254" t="n">
        <v>0</v>
      </c>
      <c r="R254" s="2" t="inlineStr"/>
    </row>
    <row r="255" ht="15" customHeight="1">
      <c r="A255" t="inlineStr">
        <is>
          <t>A 8957-2024</t>
        </is>
      </c>
      <c r="B255" s="1" t="n">
        <v>45357</v>
      </c>
      <c r="C255" s="1" t="n">
        <v>46192</v>
      </c>
      <c r="D255" t="inlineStr">
        <is>
          <t>SÖDERMANLANDS LÄN</t>
        </is>
      </c>
      <c r="E255" t="inlineStr">
        <is>
          <t>KATRINEHOLM</t>
        </is>
      </c>
      <c r="G255" t="n">
        <v>3.6</v>
      </c>
      <c r="H255" t="n">
        <v>0</v>
      </c>
      <c r="I255" t="n">
        <v>0</v>
      </c>
      <c r="J255" t="n">
        <v>0</v>
      </c>
      <c r="K255" t="n">
        <v>0</v>
      </c>
      <c r="L255" t="n">
        <v>0</v>
      </c>
      <c r="M255" t="n">
        <v>0</v>
      </c>
      <c r="N255" t="n">
        <v>0</v>
      </c>
      <c r="O255" t="n">
        <v>0</v>
      </c>
      <c r="P255" t="n">
        <v>0</v>
      </c>
      <c r="Q255" t="n">
        <v>0</v>
      </c>
      <c r="R255" s="2" t="inlineStr"/>
    </row>
    <row r="256" ht="15" customHeight="1">
      <c r="A256" t="inlineStr">
        <is>
          <t>A 15184-2023</t>
        </is>
      </c>
      <c r="B256" s="1" t="n">
        <v>45016</v>
      </c>
      <c r="C256" s="1" t="n">
        <v>46192</v>
      </c>
      <c r="D256" t="inlineStr">
        <is>
          <t>SÖDERMANLANDS LÄN</t>
        </is>
      </c>
      <c r="E256" t="inlineStr">
        <is>
          <t>KATRINEHOLM</t>
        </is>
      </c>
      <c r="G256" t="n">
        <v>1.1</v>
      </c>
      <c r="H256" t="n">
        <v>0</v>
      </c>
      <c r="I256" t="n">
        <v>0</v>
      </c>
      <c r="J256" t="n">
        <v>0</v>
      </c>
      <c r="K256" t="n">
        <v>0</v>
      </c>
      <c r="L256" t="n">
        <v>0</v>
      </c>
      <c r="M256" t="n">
        <v>0</v>
      </c>
      <c r="N256" t="n">
        <v>0</v>
      </c>
      <c r="O256" t="n">
        <v>0</v>
      </c>
      <c r="P256" t="n">
        <v>0</v>
      </c>
      <c r="Q256" t="n">
        <v>0</v>
      </c>
      <c r="R256" s="2" t="inlineStr"/>
    </row>
    <row r="257" ht="15" customHeight="1">
      <c r="A257" t="inlineStr">
        <is>
          <t>A 4387-2024</t>
        </is>
      </c>
      <c r="B257" s="1" t="n">
        <v>45327</v>
      </c>
      <c r="C257" s="1" t="n">
        <v>46192</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42799-2025</t>
        </is>
      </c>
      <c r="B258" s="1" t="n">
        <v>45907</v>
      </c>
      <c r="C258" s="1" t="n">
        <v>46192</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18386-2025</t>
        </is>
      </c>
      <c r="B259" s="1" t="n">
        <v>45762</v>
      </c>
      <c r="C259" s="1" t="n">
        <v>46192</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14313-2024</t>
        </is>
      </c>
      <c r="B260" s="1" t="n">
        <v>45393</v>
      </c>
      <c r="C260" s="1" t="n">
        <v>46192</v>
      </c>
      <c r="D260" t="inlineStr">
        <is>
          <t>SÖDERMANLANDS LÄN</t>
        </is>
      </c>
      <c r="E260" t="inlineStr">
        <is>
          <t>KATRINEHOLM</t>
        </is>
      </c>
      <c r="G260" t="n">
        <v>3.1</v>
      </c>
      <c r="H260" t="n">
        <v>0</v>
      </c>
      <c r="I260" t="n">
        <v>0</v>
      </c>
      <c r="J260" t="n">
        <v>0</v>
      </c>
      <c r="K260" t="n">
        <v>0</v>
      </c>
      <c r="L260" t="n">
        <v>0</v>
      </c>
      <c r="M260" t="n">
        <v>0</v>
      </c>
      <c r="N260" t="n">
        <v>0</v>
      </c>
      <c r="O260" t="n">
        <v>0</v>
      </c>
      <c r="P260" t="n">
        <v>0</v>
      </c>
      <c r="Q260" t="n">
        <v>0</v>
      </c>
      <c r="R260" s="2" t="inlineStr"/>
    </row>
    <row r="261" ht="15" customHeight="1">
      <c r="A261" t="inlineStr">
        <is>
          <t>A 12938-2023</t>
        </is>
      </c>
      <c r="B261" s="1" t="n">
        <v>45001</v>
      </c>
      <c r="C261" s="1" t="n">
        <v>46192</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60677-2021</t>
        </is>
      </c>
      <c r="B262" s="1" t="n">
        <v>44495</v>
      </c>
      <c r="C262" s="1" t="n">
        <v>46192</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3986-2024</t>
        </is>
      </c>
      <c r="B263" s="1" t="n">
        <v>45322</v>
      </c>
      <c r="C263" s="1" t="n">
        <v>46192</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7398-2024</t>
        </is>
      </c>
      <c r="B264" s="1" t="n">
        <v>45345</v>
      </c>
      <c r="C264" s="1" t="n">
        <v>46192</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43975-2025</t>
        </is>
      </c>
      <c r="B265" s="1" t="n">
        <v>45915</v>
      </c>
      <c r="C265" s="1" t="n">
        <v>46192</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8955-2024</t>
        </is>
      </c>
      <c r="B266" s="1" t="n">
        <v>45357</v>
      </c>
      <c r="C266" s="1" t="n">
        <v>46192</v>
      </c>
      <c r="D266" t="inlineStr">
        <is>
          <t>SÖDERMANLANDS LÄN</t>
        </is>
      </c>
      <c r="E266" t="inlineStr">
        <is>
          <t>KATRINEHOLM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3939-2022</t>
        </is>
      </c>
      <c r="B267" s="1" t="n">
        <v>44587</v>
      </c>
      <c r="C267" s="1" t="n">
        <v>46192</v>
      </c>
      <c r="D267" t="inlineStr">
        <is>
          <t>SÖDERMANLANDS LÄN</t>
        </is>
      </c>
      <c r="E267" t="inlineStr">
        <is>
          <t>KATRINEHOLM</t>
        </is>
      </c>
      <c r="G267" t="n">
        <v>0.8</v>
      </c>
      <c r="H267" t="n">
        <v>0</v>
      </c>
      <c r="I267" t="n">
        <v>0</v>
      </c>
      <c r="J267" t="n">
        <v>0</v>
      </c>
      <c r="K267" t="n">
        <v>0</v>
      </c>
      <c r="L267" t="n">
        <v>0</v>
      </c>
      <c r="M267" t="n">
        <v>0</v>
      </c>
      <c r="N267" t="n">
        <v>0</v>
      </c>
      <c r="O267" t="n">
        <v>0</v>
      </c>
      <c r="P267" t="n">
        <v>0</v>
      </c>
      <c r="Q267" t="n">
        <v>0</v>
      </c>
      <c r="R267" s="2" t="inlineStr"/>
    </row>
    <row r="268" ht="15" customHeight="1">
      <c r="A268" t="inlineStr">
        <is>
          <t>A 2683-2025</t>
        </is>
      </c>
      <c r="B268" s="1" t="n">
        <v>45677</v>
      </c>
      <c r="C268" s="1" t="n">
        <v>46192</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36001-2024</t>
        </is>
      </c>
      <c r="B269" s="1" t="n">
        <v>45533</v>
      </c>
      <c r="C269" s="1" t="n">
        <v>46192</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36-2023</t>
        </is>
      </c>
      <c r="B270" s="1" t="n">
        <v>44928</v>
      </c>
      <c r="C270" s="1" t="n">
        <v>46192</v>
      </c>
      <c r="D270" t="inlineStr">
        <is>
          <t>SÖDERMANLANDS LÄN</t>
        </is>
      </c>
      <c r="E270" t="inlineStr">
        <is>
          <t>KATRINEHOLM</t>
        </is>
      </c>
      <c r="G270" t="n">
        <v>3.7</v>
      </c>
      <c r="H270" t="n">
        <v>0</v>
      </c>
      <c r="I270" t="n">
        <v>0</v>
      </c>
      <c r="J270" t="n">
        <v>0</v>
      </c>
      <c r="K270" t="n">
        <v>0</v>
      </c>
      <c r="L270" t="n">
        <v>0</v>
      </c>
      <c r="M270" t="n">
        <v>0</v>
      </c>
      <c r="N270" t="n">
        <v>0</v>
      </c>
      <c r="O270" t="n">
        <v>0</v>
      </c>
      <c r="P270" t="n">
        <v>0</v>
      </c>
      <c r="Q270" t="n">
        <v>0</v>
      </c>
      <c r="R270" s="2" t="inlineStr"/>
    </row>
    <row r="271" ht="15" customHeight="1">
      <c r="A271" t="inlineStr">
        <is>
          <t>A 3317-2023</t>
        </is>
      </c>
      <c r="B271" s="1" t="n">
        <v>44945</v>
      </c>
      <c r="C271" s="1" t="n">
        <v>46192</v>
      </c>
      <c r="D271" t="inlineStr">
        <is>
          <t>SÖDERMANLANDS LÄN</t>
        </is>
      </c>
      <c r="E271" t="inlineStr">
        <is>
          <t>KATRINEHOLM</t>
        </is>
      </c>
      <c r="G271" t="n">
        <v>3.2</v>
      </c>
      <c r="H271" t="n">
        <v>0</v>
      </c>
      <c r="I271" t="n">
        <v>0</v>
      </c>
      <c r="J271" t="n">
        <v>0</v>
      </c>
      <c r="K271" t="n">
        <v>0</v>
      </c>
      <c r="L271" t="n">
        <v>0</v>
      </c>
      <c r="M271" t="n">
        <v>0</v>
      </c>
      <c r="N271" t="n">
        <v>0</v>
      </c>
      <c r="O271" t="n">
        <v>0</v>
      </c>
      <c r="P271" t="n">
        <v>0</v>
      </c>
      <c r="Q271" t="n">
        <v>0</v>
      </c>
      <c r="R271" s="2" t="inlineStr"/>
    </row>
    <row r="272" ht="15" customHeight="1">
      <c r="A272" t="inlineStr">
        <is>
          <t>A 32944-2023</t>
        </is>
      </c>
      <c r="B272" s="1" t="n">
        <v>45125</v>
      </c>
      <c r="C272" s="1" t="n">
        <v>46192</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29198-2023</t>
        </is>
      </c>
      <c r="B273" s="1" t="n">
        <v>45105</v>
      </c>
      <c r="C273" s="1" t="n">
        <v>46192</v>
      </c>
      <c r="D273" t="inlineStr">
        <is>
          <t>SÖDERMANLANDS LÄN</t>
        </is>
      </c>
      <c r="E273" t="inlineStr">
        <is>
          <t>KATRINEHOLM</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56661-2021</t>
        </is>
      </c>
      <c r="B274" s="1" t="n">
        <v>44481</v>
      </c>
      <c r="C274" s="1" t="n">
        <v>46192</v>
      </c>
      <c r="D274" t="inlineStr">
        <is>
          <t>SÖDERMANLANDS LÄN</t>
        </is>
      </c>
      <c r="E274" t="inlineStr">
        <is>
          <t>KATRINEHOLM</t>
        </is>
      </c>
      <c r="G274" t="n">
        <v>5.8</v>
      </c>
      <c r="H274" t="n">
        <v>0</v>
      </c>
      <c r="I274" t="n">
        <v>0</v>
      </c>
      <c r="J274" t="n">
        <v>0</v>
      </c>
      <c r="K274" t="n">
        <v>0</v>
      </c>
      <c r="L274" t="n">
        <v>0</v>
      </c>
      <c r="M274" t="n">
        <v>0</v>
      </c>
      <c r="N274" t="n">
        <v>0</v>
      </c>
      <c r="O274" t="n">
        <v>0</v>
      </c>
      <c r="P274" t="n">
        <v>0</v>
      </c>
      <c r="Q274" t="n">
        <v>0</v>
      </c>
      <c r="R274" s="2" t="inlineStr"/>
    </row>
    <row r="275" ht="15" customHeight="1">
      <c r="A275" t="inlineStr">
        <is>
          <t>A 45246-2023</t>
        </is>
      </c>
      <c r="B275" s="1" t="n">
        <v>45191</v>
      </c>
      <c r="C275" s="1" t="n">
        <v>46192</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55171-2023</t>
        </is>
      </c>
      <c r="B276" s="1" t="n">
        <v>45231</v>
      </c>
      <c r="C276" s="1" t="n">
        <v>46192</v>
      </c>
      <c r="D276" t="inlineStr">
        <is>
          <t>SÖDERMANLANDS LÄN</t>
        </is>
      </c>
      <c r="E276" t="inlineStr">
        <is>
          <t>KATRINEHOLM</t>
        </is>
      </c>
      <c r="G276" t="n">
        <v>4.2</v>
      </c>
      <c r="H276" t="n">
        <v>0</v>
      </c>
      <c r="I276" t="n">
        <v>0</v>
      </c>
      <c r="J276" t="n">
        <v>0</v>
      </c>
      <c r="K276" t="n">
        <v>0</v>
      </c>
      <c r="L276" t="n">
        <v>0</v>
      </c>
      <c r="M276" t="n">
        <v>0</v>
      </c>
      <c r="N276" t="n">
        <v>0</v>
      </c>
      <c r="O276" t="n">
        <v>0</v>
      </c>
      <c r="P276" t="n">
        <v>0</v>
      </c>
      <c r="Q276" t="n">
        <v>0</v>
      </c>
      <c r="R276" s="2" t="inlineStr"/>
    </row>
    <row r="277" ht="15" customHeight="1">
      <c r="A277" t="inlineStr">
        <is>
          <t>A 46569-2022</t>
        </is>
      </c>
      <c r="B277" s="1" t="n">
        <v>44847</v>
      </c>
      <c r="C277" s="1" t="n">
        <v>46192</v>
      </c>
      <c r="D277" t="inlineStr">
        <is>
          <t>SÖDERMANLANDS LÄN</t>
        </is>
      </c>
      <c r="E277" t="inlineStr">
        <is>
          <t>KATRINEHOLM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48097-2023</t>
        </is>
      </c>
      <c r="B278" s="1" t="n">
        <v>45205</v>
      </c>
      <c r="C278" s="1" t="n">
        <v>46192</v>
      </c>
      <c r="D278" t="inlineStr">
        <is>
          <t>SÖDERMANLANDS LÄN</t>
        </is>
      </c>
      <c r="E278" t="inlineStr">
        <is>
          <t>KATRINEHOLM</t>
        </is>
      </c>
      <c r="G278" t="n">
        <v>2.3</v>
      </c>
      <c r="H278" t="n">
        <v>0</v>
      </c>
      <c r="I278" t="n">
        <v>0</v>
      </c>
      <c r="J278" t="n">
        <v>0</v>
      </c>
      <c r="K278" t="n">
        <v>0</v>
      </c>
      <c r="L278" t="n">
        <v>0</v>
      </c>
      <c r="M278" t="n">
        <v>0</v>
      </c>
      <c r="N278" t="n">
        <v>0</v>
      </c>
      <c r="O278" t="n">
        <v>0</v>
      </c>
      <c r="P278" t="n">
        <v>0</v>
      </c>
      <c r="Q278" t="n">
        <v>0</v>
      </c>
      <c r="R278" s="2" t="inlineStr"/>
    </row>
    <row r="279" ht="15" customHeight="1">
      <c r="A279" t="inlineStr">
        <is>
          <t>A 19098-2022</t>
        </is>
      </c>
      <c r="B279" s="1" t="n">
        <v>44691</v>
      </c>
      <c r="C279" s="1" t="n">
        <v>46192</v>
      </c>
      <c r="D279" t="inlineStr">
        <is>
          <t>SÖDERMANLANDS LÄN</t>
        </is>
      </c>
      <c r="E279" t="inlineStr">
        <is>
          <t>KATRINEHOLM</t>
        </is>
      </c>
      <c r="G279" t="n">
        <v>5.5</v>
      </c>
      <c r="H279" t="n">
        <v>0</v>
      </c>
      <c r="I279" t="n">
        <v>0</v>
      </c>
      <c r="J279" t="n">
        <v>0</v>
      </c>
      <c r="K279" t="n">
        <v>0</v>
      </c>
      <c r="L279" t="n">
        <v>0</v>
      </c>
      <c r="M279" t="n">
        <v>0</v>
      </c>
      <c r="N279" t="n">
        <v>0</v>
      </c>
      <c r="O279" t="n">
        <v>0</v>
      </c>
      <c r="P279" t="n">
        <v>0</v>
      </c>
      <c r="Q279" t="n">
        <v>0</v>
      </c>
      <c r="R279" s="2" t="inlineStr"/>
    </row>
    <row r="280" ht="15" customHeight="1">
      <c r="A280" t="inlineStr">
        <is>
          <t>A 41548-2025</t>
        </is>
      </c>
      <c r="B280" s="1" t="n">
        <v>45901</v>
      </c>
      <c r="C280" s="1" t="n">
        <v>46192</v>
      </c>
      <c r="D280" t="inlineStr">
        <is>
          <t>SÖDERMANLANDS LÄN</t>
        </is>
      </c>
      <c r="E280" t="inlineStr">
        <is>
          <t>KATRINEHOLM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51530-2023</t>
        </is>
      </c>
      <c r="B281" s="1" t="n">
        <v>45222</v>
      </c>
      <c r="C281" s="1" t="n">
        <v>46192</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3315-2023</t>
        </is>
      </c>
      <c r="B282" s="1" t="n">
        <v>44945</v>
      </c>
      <c r="C282" s="1" t="n">
        <v>46192</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7753-2024</t>
        </is>
      </c>
      <c r="B283" s="1" t="n">
        <v>45348</v>
      </c>
      <c r="C283" s="1" t="n">
        <v>46192</v>
      </c>
      <c r="D283" t="inlineStr">
        <is>
          <t>SÖDERMANLANDS LÄN</t>
        </is>
      </c>
      <c r="E283" t="inlineStr">
        <is>
          <t>KATRINEHOLM</t>
        </is>
      </c>
      <c r="G283" t="n">
        <v>13.4</v>
      </c>
      <c r="H283" t="n">
        <v>0</v>
      </c>
      <c r="I283" t="n">
        <v>0</v>
      </c>
      <c r="J283" t="n">
        <v>0</v>
      </c>
      <c r="K283" t="n">
        <v>0</v>
      </c>
      <c r="L283" t="n">
        <v>0</v>
      </c>
      <c r="M283" t="n">
        <v>0</v>
      </c>
      <c r="N283" t="n">
        <v>0</v>
      </c>
      <c r="O283" t="n">
        <v>0</v>
      </c>
      <c r="P283" t="n">
        <v>0</v>
      </c>
      <c r="Q283" t="n">
        <v>0</v>
      </c>
      <c r="R283" s="2" t="inlineStr"/>
    </row>
    <row r="284" ht="15" customHeight="1">
      <c r="A284" t="inlineStr">
        <is>
          <t>A 2093-2025</t>
        </is>
      </c>
      <c r="B284" s="1" t="n">
        <v>45672</v>
      </c>
      <c r="C284" s="1" t="n">
        <v>46192</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61915-2021</t>
        </is>
      </c>
      <c r="B285" s="1" t="n">
        <v>44502</v>
      </c>
      <c r="C285" s="1" t="n">
        <v>46192</v>
      </c>
      <c r="D285" t="inlineStr">
        <is>
          <t>SÖDERMANLANDS LÄN</t>
        </is>
      </c>
      <c r="E285" t="inlineStr">
        <is>
          <t>KATRINEHOLM</t>
        </is>
      </c>
      <c r="G285" t="n">
        <v>2.6</v>
      </c>
      <c r="H285" t="n">
        <v>0</v>
      </c>
      <c r="I285" t="n">
        <v>0</v>
      </c>
      <c r="J285" t="n">
        <v>0</v>
      </c>
      <c r="K285" t="n">
        <v>0</v>
      </c>
      <c r="L285" t="n">
        <v>0</v>
      </c>
      <c r="M285" t="n">
        <v>0</v>
      </c>
      <c r="N285" t="n">
        <v>0</v>
      </c>
      <c r="O285" t="n">
        <v>0</v>
      </c>
      <c r="P285" t="n">
        <v>0</v>
      </c>
      <c r="Q285" t="n">
        <v>0</v>
      </c>
      <c r="R285" s="2" t="inlineStr"/>
    </row>
    <row r="286" ht="15" customHeight="1">
      <c r="A286" t="inlineStr">
        <is>
          <t>A 55795-2023</t>
        </is>
      </c>
      <c r="B286" s="1" t="n">
        <v>45239</v>
      </c>
      <c r="C286" s="1" t="n">
        <v>46192</v>
      </c>
      <c r="D286" t="inlineStr">
        <is>
          <t>SÖDERMANLANDS LÄN</t>
        </is>
      </c>
      <c r="E286" t="inlineStr">
        <is>
          <t>KATRINEHOLM</t>
        </is>
      </c>
      <c r="G286" t="n">
        <v>7</v>
      </c>
      <c r="H286" t="n">
        <v>0</v>
      </c>
      <c r="I286" t="n">
        <v>0</v>
      </c>
      <c r="J286" t="n">
        <v>0</v>
      </c>
      <c r="K286" t="n">
        <v>0</v>
      </c>
      <c r="L286" t="n">
        <v>0</v>
      </c>
      <c r="M286" t="n">
        <v>0</v>
      </c>
      <c r="N286" t="n">
        <v>0</v>
      </c>
      <c r="O286" t="n">
        <v>0</v>
      </c>
      <c r="P286" t="n">
        <v>0</v>
      </c>
      <c r="Q286" t="n">
        <v>0</v>
      </c>
      <c r="R286" s="2" t="inlineStr"/>
    </row>
    <row r="287" ht="15" customHeight="1">
      <c r="A287" t="inlineStr">
        <is>
          <t>A 20768-2022</t>
        </is>
      </c>
      <c r="B287" s="1" t="n">
        <v>44701</v>
      </c>
      <c r="C287" s="1" t="n">
        <v>46192</v>
      </c>
      <c r="D287" t="inlineStr">
        <is>
          <t>SÖDERMANLANDS LÄN</t>
        </is>
      </c>
      <c r="E287" t="inlineStr">
        <is>
          <t>KATRINEHOLM</t>
        </is>
      </c>
      <c r="G287" t="n">
        <v>3.5</v>
      </c>
      <c r="H287" t="n">
        <v>0</v>
      </c>
      <c r="I287" t="n">
        <v>0</v>
      </c>
      <c r="J287" t="n">
        <v>0</v>
      </c>
      <c r="K287" t="n">
        <v>0</v>
      </c>
      <c r="L287" t="n">
        <v>0</v>
      </c>
      <c r="M287" t="n">
        <v>0</v>
      </c>
      <c r="N287" t="n">
        <v>0</v>
      </c>
      <c r="O287" t="n">
        <v>0</v>
      </c>
      <c r="P287" t="n">
        <v>0</v>
      </c>
      <c r="Q287" t="n">
        <v>0</v>
      </c>
      <c r="R287" s="2" t="inlineStr"/>
    </row>
    <row r="288" ht="15" customHeight="1">
      <c r="A288" t="inlineStr">
        <is>
          <t>A 55846-2022</t>
        </is>
      </c>
      <c r="B288" s="1" t="n">
        <v>44888</v>
      </c>
      <c r="C288" s="1" t="n">
        <v>46192</v>
      </c>
      <c r="D288" t="inlineStr">
        <is>
          <t>SÖDERMANLANDS LÄN</t>
        </is>
      </c>
      <c r="E288" t="inlineStr">
        <is>
          <t>KATRINEHOLM</t>
        </is>
      </c>
      <c r="G288" t="n">
        <v>6.5</v>
      </c>
      <c r="H288" t="n">
        <v>0</v>
      </c>
      <c r="I288" t="n">
        <v>0</v>
      </c>
      <c r="J288" t="n">
        <v>0</v>
      </c>
      <c r="K288" t="n">
        <v>0</v>
      </c>
      <c r="L288" t="n">
        <v>0</v>
      </c>
      <c r="M288" t="n">
        <v>0</v>
      </c>
      <c r="N288" t="n">
        <v>0</v>
      </c>
      <c r="O288" t="n">
        <v>0</v>
      </c>
      <c r="P288" t="n">
        <v>0</v>
      </c>
      <c r="Q288" t="n">
        <v>0</v>
      </c>
      <c r="R288" s="2" t="inlineStr"/>
    </row>
    <row r="289" ht="15" customHeight="1">
      <c r="A289" t="inlineStr">
        <is>
          <t>A 20826-2022</t>
        </is>
      </c>
      <c r="B289" s="1" t="n">
        <v>44701</v>
      </c>
      <c r="C289" s="1" t="n">
        <v>46192</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20846-2022</t>
        </is>
      </c>
      <c r="B290" s="1" t="n">
        <v>44701</v>
      </c>
      <c r="C290" s="1" t="n">
        <v>46192</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19452-2023</t>
        </is>
      </c>
      <c r="B291" s="1" t="n">
        <v>45050</v>
      </c>
      <c r="C291" s="1" t="n">
        <v>46192</v>
      </c>
      <c r="D291" t="inlineStr">
        <is>
          <t>SÖDERMANLANDS LÄN</t>
        </is>
      </c>
      <c r="E291" t="inlineStr">
        <is>
          <t>KATRINEHOLM</t>
        </is>
      </c>
      <c r="F291" t="inlineStr">
        <is>
          <t>Holmen skog AB</t>
        </is>
      </c>
      <c r="G291" t="n">
        <v>4.7</v>
      </c>
      <c r="H291" t="n">
        <v>0</v>
      </c>
      <c r="I291" t="n">
        <v>0</v>
      </c>
      <c r="J291" t="n">
        <v>0</v>
      </c>
      <c r="K291" t="n">
        <v>0</v>
      </c>
      <c r="L291" t="n">
        <v>0</v>
      </c>
      <c r="M291" t="n">
        <v>0</v>
      </c>
      <c r="N291" t="n">
        <v>0</v>
      </c>
      <c r="O291" t="n">
        <v>0</v>
      </c>
      <c r="P291" t="n">
        <v>0</v>
      </c>
      <c r="Q291" t="n">
        <v>0</v>
      </c>
      <c r="R291" s="2" t="inlineStr"/>
    </row>
    <row r="292" ht="15" customHeight="1">
      <c r="A292" t="inlineStr">
        <is>
          <t>A 31719-2024</t>
        </is>
      </c>
      <c r="B292" s="1" t="n">
        <v>45509</v>
      </c>
      <c r="C292" s="1" t="n">
        <v>46192</v>
      </c>
      <c r="D292" t="inlineStr">
        <is>
          <t>SÖDERMANLANDS LÄN</t>
        </is>
      </c>
      <c r="E292" t="inlineStr">
        <is>
          <t>KATRINEHOLM</t>
        </is>
      </c>
      <c r="F292" t="inlineStr">
        <is>
          <t>Kyrkan</t>
        </is>
      </c>
      <c r="G292" t="n">
        <v>11.9</v>
      </c>
      <c r="H292" t="n">
        <v>0</v>
      </c>
      <c r="I292" t="n">
        <v>0</v>
      </c>
      <c r="J292" t="n">
        <v>0</v>
      </c>
      <c r="K292" t="n">
        <v>0</v>
      </c>
      <c r="L292" t="n">
        <v>0</v>
      </c>
      <c r="M292" t="n">
        <v>0</v>
      </c>
      <c r="N292" t="n">
        <v>0</v>
      </c>
      <c r="O292" t="n">
        <v>0</v>
      </c>
      <c r="P292" t="n">
        <v>0</v>
      </c>
      <c r="Q292" t="n">
        <v>0</v>
      </c>
      <c r="R292" s="2" t="inlineStr"/>
    </row>
    <row r="293" ht="15" customHeight="1">
      <c r="A293" t="inlineStr">
        <is>
          <t>A 43837-2022</t>
        </is>
      </c>
      <c r="B293" s="1" t="n">
        <v>44838</v>
      </c>
      <c r="C293" s="1" t="n">
        <v>46192</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51397-2023</t>
        </is>
      </c>
      <c r="B294" s="1" t="n">
        <v>45214</v>
      </c>
      <c r="C294" s="1" t="n">
        <v>46192</v>
      </c>
      <c r="D294" t="inlineStr">
        <is>
          <t>SÖDERMANLANDS LÄN</t>
        </is>
      </c>
      <c r="E294" t="inlineStr">
        <is>
          <t>KATRINEHOLM</t>
        </is>
      </c>
      <c r="G294" t="n">
        <v>4.9</v>
      </c>
      <c r="H294" t="n">
        <v>0</v>
      </c>
      <c r="I294" t="n">
        <v>0</v>
      </c>
      <c r="J294" t="n">
        <v>0</v>
      </c>
      <c r="K294" t="n">
        <v>0</v>
      </c>
      <c r="L294" t="n">
        <v>0</v>
      </c>
      <c r="M294" t="n">
        <v>0</v>
      </c>
      <c r="N294" t="n">
        <v>0</v>
      </c>
      <c r="O294" t="n">
        <v>0</v>
      </c>
      <c r="P294" t="n">
        <v>0</v>
      </c>
      <c r="Q294" t="n">
        <v>0</v>
      </c>
      <c r="R294" s="2" t="inlineStr"/>
    </row>
    <row r="295" ht="15" customHeight="1">
      <c r="A295" t="inlineStr">
        <is>
          <t>A 19670-2022</t>
        </is>
      </c>
      <c r="B295" s="1" t="n">
        <v>44694</v>
      </c>
      <c r="C295" s="1" t="n">
        <v>46192</v>
      </c>
      <c r="D295" t="inlineStr">
        <is>
          <t>SÖDERMANLANDS LÄN</t>
        </is>
      </c>
      <c r="E295" t="inlineStr">
        <is>
          <t>KATRINEHOLM</t>
        </is>
      </c>
      <c r="G295" t="n">
        <v>13.6</v>
      </c>
      <c r="H295" t="n">
        <v>0</v>
      </c>
      <c r="I295" t="n">
        <v>0</v>
      </c>
      <c r="J295" t="n">
        <v>0</v>
      </c>
      <c r="K295" t="n">
        <v>0</v>
      </c>
      <c r="L295" t="n">
        <v>0</v>
      </c>
      <c r="M295" t="n">
        <v>0</v>
      </c>
      <c r="N295" t="n">
        <v>0</v>
      </c>
      <c r="O295" t="n">
        <v>0</v>
      </c>
      <c r="P295" t="n">
        <v>0</v>
      </c>
      <c r="Q295" t="n">
        <v>0</v>
      </c>
      <c r="R295" s="2" t="inlineStr"/>
    </row>
    <row r="296" ht="15" customHeight="1">
      <c r="A296" t="inlineStr">
        <is>
          <t>A 12930-2023</t>
        </is>
      </c>
      <c r="B296" s="1" t="n">
        <v>45001</v>
      </c>
      <c r="C296" s="1" t="n">
        <v>46192</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38308-2021</t>
        </is>
      </c>
      <c r="B297" s="1" t="n">
        <v>44406</v>
      </c>
      <c r="C297" s="1" t="n">
        <v>46192</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56597-2025</t>
        </is>
      </c>
      <c r="B298" s="1" t="n">
        <v>45975</v>
      </c>
      <c r="C298" s="1" t="n">
        <v>46192</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6606-2022</t>
        </is>
      </c>
      <c r="B299" s="1" t="n">
        <v>44601</v>
      </c>
      <c r="C299" s="1" t="n">
        <v>46192</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23031-2024</t>
        </is>
      </c>
      <c r="B300" s="1" t="n">
        <v>45450</v>
      </c>
      <c r="C300" s="1" t="n">
        <v>46192</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4122-2023</t>
        </is>
      </c>
      <c r="B301" s="1" t="n">
        <v>44952</v>
      </c>
      <c r="C301" s="1" t="n">
        <v>46192</v>
      </c>
      <c r="D301" t="inlineStr">
        <is>
          <t>SÖDERMANLANDS LÄN</t>
        </is>
      </c>
      <c r="E301" t="inlineStr">
        <is>
          <t>KATRINEHOLM</t>
        </is>
      </c>
      <c r="G301" t="n">
        <v>9</v>
      </c>
      <c r="H301" t="n">
        <v>0</v>
      </c>
      <c r="I301" t="n">
        <v>0</v>
      </c>
      <c r="J301" t="n">
        <v>0</v>
      </c>
      <c r="K301" t="n">
        <v>0</v>
      </c>
      <c r="L301" t="n">
        <v>0</v>
      </c>
      <c r="M301" t="n">
        <v>0</v>
      </c>
      <c r="N301" t="n">
        <v>0</v>
      </c>
      <c r="O301" t="n">
        <v>0</v>
      </c>
      <c r="P301" t="n">
        <v>0</v>
      </c>
      <c r="Q301" t="n">
        <v>0</v>
      </c>
      <c r="R301" s="2" t="inlineStr"/>
    </row>
    <row r="302" ht="15" customHeight="1">
      <c r="A302" t="inlineStr">
        <is>
          <t>A 15284-2023</t>
        </is>
      </c>
      <c r="B302" s="1" t="n">
        <v>45019</v>
      </c>
      <c r="C302" s="1" t="n">
        <v>46192</v>
      </c>
      <c r="D302" t="inlineStr">
        <is>
          <t>SÖDERMANLANDS LÄN</t>
        </is>
      </c>
      <c r="E302" t="inlineStr">
        <is>
          <t>KATRINEHOLM</t>
        </is>
      </c>
      <c r="F302" t="inlineStr">
        <is>
          <t>Allmännings- och besparingsskogar</t>
        </is>
      </c>
      <c r="G302" t="n">
        <v>17.4</v>
      </c>
      <c r="H302" t="n">
        <v>0</v>
      </c>
      <c r="I302" t="n">
        <v>0</v>
      </c>
      <c r="J302" t="n">
        <v>0</v>
      </c>
      <c r="K302" t="n">
        <v>0</v>
      </c>
      <c r="L302" t="n">
        <v>0</v>
      </c>
      <c r="M302" t="n">
        <v>0</v>
      </c>
      <c r="N302" t="n">
        <v>0</v>
      </c>
      <c r="O302" t="n">
        <v>0</v>
      </c>
      <c r="P302" t="n">
        <v>0</v>
      </c>
      <c r="Q302" t="n">
        <v>0</v>
      </c>
      <c r="R302" s="2" t="inlineStr"/>
    </row>
    <row r="303" ht="15" customHeight="1">
      <c r="A303" t="inlineStr">
        <is>
          <t>A 23347-2023</t>
        </is>
      </c>
      <c r="B303" s="1" t="n">
        <v>45076</v>
      </c>
      <c r="C303" s="1" t="n">
        <v>46192</v>
      </c>
      <c r="D303" t="inlineStr">
        <is>
          <t>SÖDERMANLANDS LÄN</t>
        </is>
      </c>
      <c r="E303" t="inlineStr">
        <is>
          <t>KATRINEHOLM</t>
        </is>
      </c>
      <c r="G303" t="n">
        <v>4.3</v>
      </c>
      <c r="H303" t="n">
        <v>0</v>
      </c>
      <c r="I303" t="n">
        <v>0</v>
      </c>
      <c r="J303" t="n">
        <v>0</v>
      </c>
      <c r="K303" t="n">
        <v>0</v>
      </c>
      <c r="L303" t="n">
        <v>0</v>
      </c>
      <c r="M303" t="n">
        <v>0</v>
      </c>
      <c r="N303" t="n">
        <v>0</v>
      </c>
      <c r="O303" t="n">
        <v>0</v>
      </c>
      <c r="P303" t="n">
        <v>0</v>
      </c>
      <c r="Q303" t="n">
        <v>0</v>
      </c>
      <c r="R303" s="2" t="inlineStr"/>
    </row>
    <row r="304" ht="15" customHeight="1">
      <c r="A304" t="inlineStr">
        <is>
          <t>A 23916-2023</t>
        </is>
      </c>
      <c r="B304" s="1" t="n">
        <v>45075</v>
      </c>
      <c r="C304" s="1" t="n">
        <v>46192</v>
      </c>
      <c r="D304" t="inlineStr">
        <is>
          <t>SÖDERMANLANDS LÄN</t>
        </is>
      </c>
      <c r="E304" t="inlineStr">
        <is>
          <t>KATRINEHOLM</t>
        </is>
      </c>
      <c r="G304" t="n">
        <v>8</v>
      </c>
      <c r="H304" t="n">
        <v>0</v>
      </c>
      <c r="I304" t="n">
        <v>0</v>
      </c>
      <c r="J304" t="n">
        <v>0</v>
      </c>
      <c r="K304" t="n">
        <v>0</v>
      </c>
      <c r="L304" t="n">
        <v>0</v>
      </c>
      <c r="M304" t="n">
        <v>0</v>
      </c>
      <c r="N304" t="n">
        <v>0</v>
      </c>
      <c r="O304" t="n">
        <v>0</v>
      </c>
      <c r="P304" t="n">
        <v>0</v>
      </c>
      <c r="Q304" t="n">
        <v>0</v>
      </c>
      <c r="R304" s="2" t="inlineStr"/>
    </row>
    <row r="305" ht="15" customHeight="1">
      <c r="A305" t="inlineStr">
        <is>
          <t>A 33278-2024</t>
        </is>
      </c>
      <c r="B305" s="1" t="n">
        <v>45518</v>
      </c>
      <c r="C305" s="1" t="n">
        <v>46192</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55856-2022</t>
        </is>
      </c>
      <c r="B306" s="1" t="n">
        <v>44888</v>
      </c>
      <c r="C306" s="1" t="n">
        <v>46192</v>
      </c>
      <c r="D306" t="inlineStr">
        <is>
          <t>SÖDERMANLANDS LÄN</t>
        </is>
      </c>
      <c r="E306" t="inlineStr">
        <is>
          <t>KATRINEHOLM</t>
        </is>
      </c>
      <c r="G306" t="n">
        <v>5.6</v>
      </c>
      <c r="H306" t="n">
        <v>0</v>
      </c>
      <c r="I306" t="n">
        <v>0</v>
      </c>
      <c r="J306" t="n">
        <v>0</v>
      </c>
      <c r="K306" t="n">
        <v>0</v>
      </c>
      <c r="L306" t="n">
        <v>0</v>
      </c>
      <c r="M306" t="n">
        <v>0</v>
      </c>
      <c r="N306" t="n">
        <v>0</v>
      </c>
      <c r="O306" t="n">
        <v>0</v>
      </c>
      <c r="P306" t="n">
        <v>0</v>
      </c>
      <c r="Q306" t="n">
        <v>0</v>
      </c>
      <c r="R306" s="2" t="inlineStr"/>
    </row>
    <row r="307" ht="15" customHeight="1">
      <c r="A307" t="inlineStr">
        <is>
          <t>A 37542-2022</t>
        </is>
      </c>
      <c r="B307" s="1" t="n">
        <v>44809</v>
      </c>
      <c r="C307" s="1" t="n">
        <v>46192</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34739-2023</t>
        </is>
      </c>
      <c r="B308" s="1" t="n">
        <v>45141</v>
      </c>
      <c r="C308" s="1" t="n">
        <v>46192</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40186-2023</t>
        </is>
      </c>
      <c r="B309" s="1" t="n">
        <v>45169</v>
      </c>
      <c r="C309" s="1" t="n">
        <v>46192</v>
      </c>
      <c r="D309" t="inlineStr">
        <is>
          <t>SÖDERMANLANDS LÄN</t>
        </is>
      </c>
      <c r="E309" t="inlineStr">
        <is>
          <t>KATRINEHOLM</t>
        </is>
      </c>
      <c r="G309" t="n">
        <v>2.1</v>
      </c>
      <c r="H309" t="n">
        <v>0</v>
      </c>
      <c r="I309" t="n">
        <v>0</v>
      </c>
      <c r="J309" t="n">
        <v>0</v>
      </c>
      <c r="K309" t="n">
        <v>0</v>
      </c>
      <c r="L309" t="n">
        <v>0</v>
      </c>
      <c r="M309" t="n">
        <v>0</v>
      </c>
      <c r="N309" t="n">
        <v>0</v>
      </c>
      <c r="O309" t="n">
        <v>0</v>
      </c>
      <c r="P309" t="n">
        <v>0</v>
      </c>
      <c r="Q309" t="n">
        <v>0</v>
      </c>
      <c r="R309" s="2" t="inlineStr"/>
    </row>
    <row r="310" ht="15" customHeight="1">
      <c r="A310" t="inlineStr">
        <is>
          <t>A 36366-2023</t>
        </is>
      </c>
      <c r="B310" s="1" t="n">
        <v>45152</v>
      </c>
      <c r="C310" s="1" t="n">
        <v>46192</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49700-2022</t>
        </is>
      </c>
      <c r="B311" s="1" t="n">
        <v>44862</v>
      </c>
      <c r="C311" s="1" t="n">
        <v>46192</v>
      </c>
      <c r="D311" t="inlineStr">
        <is>
          <t>SÖDERMANLANDS LÄN</t>
        </is>
      </c>
      <c r="E311" t="inlineStr">
        <is>
          <t>KATRINEHOLM</t>
        </is>
      </c>
      <c r="G311" t="n">
        <v>19.5</v>
      </c>
      <c r="H311" t="n">
        <v>0</v>
      </c>
      <c r="I311" t="n">
        <v>0</v>
      </c>
      <c r="J311" t="n">
        <v>0</v>
      </c>
      <c r="K311" t="n">
        <v>0</v>
      </c>
      <c r="L311" t="n">
        <v>0</v>
      </c>
      <c r="M311" t="n">
        <v>0</v>
      </c>
      <c r="N311" t="n">
        <v>0</v>
      </c>
      <c r="O311" t="n">
        <v>0</v>
      </c>
      <c r="P311" t="n">
        <v>0</v>
      </c>
      <c r="Q311" t="n">
        <v>0</v>
      </c>
      <c r="R311" s="2" t="inlineStr"/>
    </row>
    <row r="312" ht="15" customHeight="1">
      <c r="A312" t="inlineStr">
        <is>
          <t>A 27955-2023</t>
        </is>
      </c>
      <c r="B312" s="1" t="n">
        <v>45098</v>
      </c>
      <c r="C312" s="1" t="n">
        <v>46192</v>
      </c>
      <c r="D312" t="inlineStr">
        <is>
          <t>SÖDERMANLANDS LÄN</t>
        </is>
      </c>
      <c r="E312" t="inlineStr">
        <is>
          <t>KATRINEHOLM</t>
        </is>
      </c>
      <c r="G312" t="n">
        <v>5.9</v>
      </c>
      <c r="H312" t="n">
        <v>0</v>
      </c>
      <c r="I312" t="n">
        <v>0</v>
      </c>
      <c r="J312" t="n">
        <v>0</v>
      </c>
      <c r="K312" t="n">
        <v>0</v>
      </c>
      <c r="L312" t="n">
        <v>0</v>
      </c>
      <c r="M312" t="n">
        <v>0</v>
      </c>
      <c r="N312" t="n">
        <v>0</v>
      </c>
      <c r="O312" t="n">
        <v>0</v>
      </c>
      <c r="P312" t="n">
        <v>0</v>
      </c>
      <c r="Q312" t="n">
        <v>0</v>
      </c>
      <c r="R312" s="2" t="inlineStr"/>
    </row>
    <row r="313" ht="15" customHeight="1">
      <c r="A313" t="inlineStr">
        <is>
          <t>A 33141-2023</t>
        </is>
      </c>
      <c r="B313" s="1" t="n">
        <v>45126</v>
      </c>
      <c r="C313" s="1" t="n">
        <v>46192</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46899-2022</t>
        </is>
      </c>
      <c r="B314" s="1" t="n">
        <v>44848</v>
      </c>
      <c r="C314" s="1" t="n">
        <v>46192</v>
      </c>
      <c r="D314" t="inlineStr">
        <is>
          <t>SÖDERMANLANDS LÄN</t>
        </is>
      </c>
      <c r="E314" t="inlineStr">
        <is>
          <t>KATRINEHOLM</t>
        </is>
      </c>
      <c r="G314" t="n">
        <v>2</v>
      </c>
      <c r="H314" t="n">
        <v>0</v>
      </c>
      <c r="I314" t="n">
        <v>0</v>
      </c>
      <c r="J314" t="n">
        <v>0</v>
      </c>
      <c r="K314" t="n">
        <v>0</v>
      </c>
      <c r="L314" t="n">
        <v>0</v>
      </c>
      <c r="M314" t="n">
        <v>0</v>
      </c>
      <c r="N314" t="n">
        <v>0</v>
      </c>
      <c r="O314" t="n">
        <v>0</v>
      </c>
      <c r="P314" t="n">
        <v>0</v>
      </c>
      <c r="Q314" t="n">
        <v>0</v>
      </c>
      <c r="R314" s="2" t="inlineStr"/>
    </row>
    <row r="315" ht="15" customHeight="1">
      <c r="A315" t="inlineStr">
        <is>
          <t>A 9714-2024</t>
        </is>
      </c>
      <c r="B315" s="1" t="n">
        <v>45362</v>
      </c>
      <c r="C315" s="1" t="n">
        <v>46192</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39897-2023</t>
        </is>
      </c>
      <c r="B316" s="1" t="n">
        <v>45168</v>
      </c>
      <c r="C316" s="1" t="n">
        <v>46192</v>
      </c>
      <c r="D316" t="inlineStr">
        <is>
          <t>SÖDERMANLANDS LÄN</t>
        </is>
      </c>
      <c r="E316" t="inlineStr">
        <is>
          <t>KATRINEHOLM</t>
        </is>
      </c>
      <c r="G316" t="n">
        <v>15.6</v>
      </c>
      <c r="H316" t="n">
        <v>0</v>
      </c>
      <c r="I316" t="n">
        <v>0</v>
      </c>
      <c r="J316" t="n">
        <v>0</v>
      </c>
      <c r="K316" t="n">
        <v>0</v>
      </c>
      <c r="L316" t="n">
        <v>0</v>
      </c>
      <c r="M316" t="n">
        <v>0</v>
      </c>
      <c r="N316" t="n">
        <v>0</v>
      </c>
      <c r="O316" t="n">
        <v>0</v>
      </c>
      <c r="P316" t="n">
        <v>0</v>
      </c>
      <c r="Q316" t="n">
        <v>0</v>
      </c>
      <c r="R316" s="2" t="inlineStr"/>
    </row>
    <row r="317" ht="15" customHeight="1">
      <c r="A317" t="inlineStr">
        <is>
          <t>A 2735-2025</t>
        </is>
      </c>
      <c r="B317" s="1" t="n">
        <v>45677</v>
      </c>
      <c r="C317" s="1" t="n">
        <v>46192</v>
      </c>
      <c r="D317" t="inlineStr">
        <is>
          <t>SÖDERMANLANDS LÄN</t>
        </is>
      </c>
      <c r="E317" t="inlineStr">
        <is>
          <t>KATRINEHOLM</t>
        </is>
      </c>
      <c r="G317" t="n">
        <v>0.8</v>
      </c>
      <c r="H317" t="n">
        <v>0</v>
      </c>
      <c r="I317" t="n">
        <v>0</v>
      </c>
      <c r="J317" t="n">
        <v>0</v>
      </c>
      <c r="K317" t="n">
        <v>0</v>
      </c>
      <c r="L317" t="n">
        <v>0</v>
      </c>
      <c r="M317" t="n">
        <v>0</v>
      </c>
      <c r="N317" t="n">
        <v>0</v>
      </c>
      <c r="O317" t="n">
        <v>0</v>
      </c>
      <c r="P317" t="n">
        <v>0</v>
      </c>
      <c r="Q317" t="n">
        <v>0</v>
      </c>
      <c r="R317" s="2" t="inlineStr"/>
    </row>
    <row r="318" ht="15" customHeight="1">
      <c r="A318" t="inlineStr">
        <is>
          <t>A 20326-2023</t>
        </is>
      </c>
      <c r="B318" s="1" t="n">
        <v>45056</v>
      </c>
      <c r="C318" s="1" t="n">
        <v>46192</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67337-2021</t>
        </is>
      </c>
      <c r="B319" s="1" t="n">
        <v>44523</v>
      </c>
      <c r="C319" s="1" t="n">
        <v>46192</v>
      </c>
      <c r="D319" t="inlineStr">
        <is>
          <t>SÖDERMANLANDS LÄN</t>
        </is>
      </c>
      <c r="E319" t="inlineStr">
        <is>
          <t>KATRINEHOLM</t>
        </is>
      </c>
      <c r="G319" t="n">
        <v>5.2</v>
      </c>
      <c r="H319" t="n">
        <v>0</v>
      </c>
      <c r="I319" t="n">
        <v>0</v>
      </c>
      <c r="J319" t="n">
        <v>0</v>
      </c>
      <c r="K319" t="n">
        <v>0</v>
      </c>
      <c r="L319" t="n">
        <v>0</v>
      </c>
      <c r="M319" t="n">
        <v>0</v>
      </c>
      <c r="N319" t="n">
        <v>0</v>
      </c>
      <c r="O319" t="n">
        <v>0</v>
      </c>
      <c r="P319" t="n">
        <v>0</v>
      </c>
      <c r="Q319" t="n">
        <v>0</v>
      </c>
      <c r="R319" s="2" t="inlineStr"/>
    </row>
    <row r="320" ht="15" customHeight="1">
      <c r="A320" t="inlineStr">
        <is>
          <t>A 9044-2022</t>
        </is>
      </c>
      <c r="B320" s="1" t="n">
        <v>44602</v>
      </c>
      <c r="C320" s="1" t="n">
        <v>46192</v>
      </c>
      <c r="D320" t="inlineStr">
        <is>
          <t>SÖDERMANLANDS LÄN</t>
        </is>
      </c>
      <c r="E320" t="inlineStr">
        <is>
          <t>KATRINEHOLM</t>
        </is>
      </c>
      <c r="G320" t="n">
        <v>5.8</v>
      </c>
      <c r="H320" t="n">
        <v>0</v>
      </c>
      <c r="I320" t="n">
        <v>0</v>
      </c>
      <c r="J320" t="n">
        <v>0</v>
      </c>
      <c r="K320" t="n">
        <v>0</v>
      </c>
      <c r="L320" t="n">
        <v>0</v>
      </c>
      <c r="M320" t="n">
        <v>0</v>
      </c>
      <c r="N320" t="n">
        <v>0</v>
      </c>
      <c r="O320" t="n">
        <v>0</v>
      </c>
      <c r="P320" t="n">
        <v>0</v>
      </c>
      <c r="Q320" t="n">
        <v>0</v>
      </c>
      <c r="R320" s="2" t="inlineStr"/>
    </row>
    <row r="321" ht="15" customHeight="1">
      <c r="A321" t="inlineStr">
        <is>
          <t>A 69117-2021</t>
        </is>
      </c>
      <c r="B321" s="1" t="n">
        <v>44530</v>
      </c>
      <c r="C321" s="1" t="n">
        <v>46192</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12559-2023</t>
        </is>
      </c>
      <c r="B322" s="1" t="n">
        <v>45000</v>
      </c>
      <c r="C322" s="1" t="n">
        <v>46192</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6722-2022</t>
        </is>
      </c>
      <c r="B323" s="1" t="n">
        <v>44602</v>
      </c>
      <c r="C323" s="1" t="n">
        <v>46192</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11872-2023</t>
        </is>
      </c>
      <c r="B324" s="1" t="n">
        <v>44995</v>
      </c>
      <c r="C324" s="1" t="n">
        <v>46192</v>
      </c>
      <c r="D324" t="inlineStr">
        <is>
          <t>SÖDERMANLANDS LÄN</t>
        </is>
      </c>
      <c r="E324" t="inlineStr">
        <is>
          <t>KATRINEHOLM</t>
        </is>
      </c>
      <c r="F324" t="inlineStr">
        <is>
          <t>Kommuner</t>
        </is>
      </c>
      <c r="G324" t="n">
        <v>0.9</v>
      </c>
      <c r="H324" t="n">
        <v>0</v>
      </c>
      <c r="I324" t="n">
        <v>0</v>
      </c>
      <c r="J324" t="n">
        <v>0</v>
      </c>
      <c r="K324" t="n">
        <v>0</v>
      </c>
      <c r="L324" t="n">
        <v>0</v>
      </c>
      <c r="M324" t="n">
        <v>0</v>
      </c>
      <c r="N324" t="n">
        <v>0</v>
      </c>
      <c r="O324" t="n">
        <v>0</v>
      </c>
      <c r="P324" t="n">
        <v>0</v>
      </c>
      <c r="Q324" t="n">
        <v>0</v>
      </c>
      <c r="R324" s="2" t="inlineStr"/>
    </row>
    <row r="325" ht="15" customHeight="1">
      <c r="A325" t="inlineStr">
        <is>
          <t>A 55296-2022</t>
        </is>
      </c>
      <c r="B325" s="1" t="n">
        <v>44887</v>
      </c>
      <c r="C325" s="1" t="n">
        <v>46192</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9932-2023</t>
        </is>
      </c>
      <c r="B326" s="1" t="n">
        <v>44985</v>
      </c>
      <c r="C326" s="1" t="n">
        <v>46192</v>
      </c>
      <c r="D326" t="inlineStr">
        <is>
          <t>SÖDERMANLANDS LÄN</t>
        </is>
      </c>
      <c r="E326" t="inlineStr">
        <is>
          <t>KATRINEHOLM</t>
        </is>
      </c>
      <c r="G326" t="n">
        <v>0.3</v>
      </c>
      <c r="H326" t="n">
        <v>0</v>
      </c>
      <c r="I326" t="n">
        <v>0</v>
      </c>
      <c r="J326" t="n">
        <v>0</v>
      </c>
      <c r="K326" t="n">
        <v>0</v>
      </c>
      <c r="L326" t="n">
        <v>0</v>
      </c>
      <c r="M326" t="n">
        <v>0</v>
      </c>
      <c r="N326" t="n">
        <v>0</v>
      </c>
      <c r="O326" t="n">
        <v>0</v>
      </c>
      <c r="P326" t="n">
        <v>0</v>
      </c>
      <c r="Q326" t="n">
        <v>0</v>
      </c>
      <c r="R326" s="2" t="inlineStr"/>
    </row>
    <row r="327" ht="15" customHeight="1">
      <c r="A327" t="inlineStr">
        <is>
          <t>A 42590-2022</t>
        </is>
      </c>
      <c r="B327" s="1" t="n">
        <v>44831</v>
      </c>
      <c r="C327" s="1" t="n">
        <v>46192</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17360-2022</t>
        </is>
      </c>
      <c r="B328" s="1" t="n">
        <v>44678</v>
      </c>
      <c r="C328" s="1" t="n">
        <v>46192</v>
      </c>
      <c r="D328" t="inlineStr">
        <is>
          <t>SÖDERMANLANDS LÄN</t>
        </is>
      </c>
      <c r="E328" t="inlineStr">
        <is>
          <t>KATRINEHOLM</t>
        </is>
      </c>
      <c r="G328" t="n">
        <v>4.5</v>
      </c>
      <c r="H328" t="n">
        <v>0</v>
      </c>
      <c r="I328" t="n">
        <v>0</v>
      </c>
      <c r="J328" t="n">
        <v>0</v>
      </c>
      <c r="K328" t="n">
        <v>0</v>
      </c>
      <c r="L328" t="n">
        <v>0</v>
      </c>
      <c r="M328" t="n">
        <v>0</v>
      </c>
      <c r="N328" t="n">
        <v>0</v>
      </c>
      <c r="O328" t="n">
        <v>0</v>
      </c>
      <c r="P328" t="n">
        <v>0</v>
      </c>
      <c r="Q328" t="n">
        <v>0</v>
      </c>
      <c r="R328" s="2" t="inlineStr"/>
    </row>
    <row r="329" ht="15" customHeight="1">
      <c r="A329" t="inlineStr">
        <is>
          <t>A 48520-2023</t>
        </is>
      </c>
      <c r="B329" s="1" t="n">
        <v>45208</v>
      </c>
      <c r="C329" s="1" t="n">
        <v>46192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9693-2024</t>
        </is>
      </c>
      <c r="B330" s="1" t="n">
        <v>45362</v>
      </c>
      <c r="C330" s="1" t="n">
        <v>46192</v>
      </c>
      <c r="D330" t="inlineStr">
        <is>
          <t>SÖDERMANLANDS LÄN</t>
        </is>
      </c>
      <c r="E330" t="inlineStr">
        <is>
          <t>KATRINEHOLM</t>
        </is>
      </c>
      <c r="G330" t="n">
        <v>5.9</v>
      </c>
      <c r="H330" t="n">
        <v>0</v>
      </c>
      <c r="I330" t="n">
        <v>0</v>
      </c>
      <c r="J330" t="n">
        <v>0</v>
      </c>
      <c r="K330" t="n">
        <v>0</v>
      </c>
      <c r="L330" t="n">
        <v>0</v>
      </c>
      <c r="M330" t="n">
        <v>0</v>
      </c>
      <c r="N330" t="n">
        <v>0</v>
      </c>
      <c r="O330" t="n">
        <v>0</v>
      </c>
      <c r="P330" t="n">
        <v>0</v>
      </c>
      <c r="Q330" t="n">
        <v>0</v>
      </c>
      <c r="R330" s="2" t="inlineStr"/>
    </row>
    <row r="331" ht="15" customHeight="1">
      <c r="A331" t="inlineStr">
        <is>
          <t>A 32818-2023</t>
        </is>
      </c>
      <c r="B331" s="1" t="n">
        <v>45124</v>
      </c>
      <c r="C331" s="1" t="n">
        <v>46192</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16087-2023</t>
        </is>
      </c>
      <c r="B332" s="1" t="n">
        <v>45026</v>
      </c>
      <c r="C332" s="1" t="n">
        <v>46192</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35864-2023</t>
        </is>
      </c>
      <c r="B333" s="1" t="n">
        <v>45147</v>
      </c>
      <c r="C333" s="1" t="n">
        <v>46192</v>
      </c>
      <c r="D333" t="inlineStr">
        <is>
          <t>SÖDERMANLANDS LÄN</t>
        </is>
      </c>
      <c r="E333" t="inlineStr">
        <is>
          <t>KATRINEHOLM</t>
        </is>
      </c>
      <c r="F333" t="inlineStr">
        <is>
          <t>Övriga Aktiebolag</t>
        </is>
      </c>
      <c r="G333" t="n">
        <v>4.7</v>
      </c>
      <c r="H333" t="n">
        <v>0</v>
      </c>
      <c r="I333" t="n">
        <v>0</v>
      </c>
      <c r="J333" t="n">
        <v>0</v>
      </c>
      <c r="K333" t="n">
        <v>0</v>
      </c>
      <c r="L333" t="n">
        <v>0</v>
      </c>
      <c r="M333" t="n">
        <v>0</v>
      </c>
      <c r="N333" t="n">
        <v>0</v>
      </c>
      <c r="O333" t="n">
        <v>0</v>
      </c>
      <c r="P333" t="n">
        <v>0</v>
      </c>
      <c r="Q333" t="n">
        <v>0</v>
      </c>
      <c r="R333" s="2" t="inlineStr"/>
    </row>
    <row r="334" ht="15" customHeight="1">
      <c r="A334" t="inlineStr">
        <is>
          <t>A 21959-2022</t>
        </is>
      </c>
      <c r="B334" s="1" t="n">
        <v>44708</v>
      </c>
      <c r="C334" s="1" t="n">
        <v>46192</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42451-2023</t>
        </is>
      </c>
      <c r="B335" s="1" t="n">
        <v>45180</v>
      </c>
      <c r="C335" s="1" t="n">
        <v>46192</v>
      </c>
      <c r="D335" t="inlineStr">
        <is>
          <t>SÖDERMANLANDS LÄN</t>
        </is>
      </c>
      <c r="E335" t="inlineStr">
        <is>
          <t>KATRINEHOLM</t>
        </is>
      </c>
      <c r="G335" t="n">
        <v>3.8</v>
      </c>
      <c r="H335" t="n">
        <v>0</v>
      </c>
      <c r="I335" t="n">
        <v>0</v>
      </c>
      <c r="J335" t="n">
        <v>0</v>
      </c>
      <c r="K335" t="n">
        <v>0</v>
      </c>
      <c r="L335" t="n">
        <v>0</v>
      </c>
      <c r="M335" t="n">
        <v>0</v>
      </c>
      <c r="N335" t="n">
        <v>0</v>
      </c>
      <c r="O335" t="n">
        <v>0</v>
      </c>
      <c r="P335" t="n">
        <v>0</v>
      </c>
      <c r="Q335" t="n">
        <v>0</v>
      </c>
      <c r="R335" s="2" t="inlineStr"/>
    </row>
    <row r="336" ht="15" customHeight="1">
      <c r="A336" t="inlineStr">
        <is>
          <t>A 22506-2023</t>
        </is>
      </c>
      <c r="B336" s="1" t="n">
        <v>45071</v>
      </c>
      <c r="C336" s="1" t="n">
        <v>46192</v>
      </c>
      <c r="D336" t="inlineStr">
        <is>
          <t>SÖDERMANLANDS LÄN</t>
        </is>
      </c>
      <c r="E336" t="inlineStr">
        <is>
          <t>KATRINEHOLM</t>
        </is>
      </c>
      <c r="F336" t="inlineStr">
        <is>
          <t>Kyrkan</t>
        </is>
      </c>
      <c r="G336" t="n">
        <v>5.9</v>
      </c>
      <c r="H336" t="n">
        <v>0</v>
      </c>
      <c r="I336" t="n">
        <v>0</v>
      </c>
      <c r="J336" t="n">
        <v>0</v>
      </c>
      <c r="K336" t="n">
        <v>0</v>
      </c>
      <c r="L336" t="n">
        <v>0</v>
      </c>
      <c r="M336" t="n">
        <v>0</v>
      </c>
      <c r="N336" t="n">
        <v>0</v>
      </c>
      <c r="O336" t="n">
        <v>0</v>
      </c>
      <c r="P336" t="n">
        <v>0</v>
      </c>
      <c r="Q336" t="n">
        <v>0</v>
      </c>
      <c r="R336" s="2" t="inlineStr"/>
    </row>
    <row r="337" ht="15" customHeight="1">
      <c r="A337" t="inlineStr">
        <is>
          <t>A 26713-2024</t>
        </is>
      </c>
      <c r="B337" s="1" t="n">
        <v>45470</v>
      </c>
      <c r="C337" s="1" t="n">
        <v>46192</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6810-2023</t>
        </is>
      </c>
      <c r="B338" s="1" t="n">
        <v>44964</v>
      </c>
      <c r="C338" s="1" t="n">
        <v>46192</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11635-2023</t>
        </is>
      </c>
      <c r="B339" s="1" t="n">
        <v>44994</v>
      </c>
      <c r="C339" s="1" t="n">
        <v>46192</v>
      </c>
      <c r="D339" t="inlineStr">
        <is>
          <t>SÖDERMANLANDS LÄN</t>
        </is>
      </c>
      <c r="E339" t="inlineStr">
        <is>
          <t>KATRINEHOLM</t>
        </is>
      </c>
      <c r="G339" t="n">
        <v>4.3</v>
      </c>
      <c r="H339" t="n">
        <v>0</v>
      </c>
      <c r="I339" t="n">
        <v>0</v>
      </c>
      <c r="J339" t="n">
        <v>0</v>
      </c>
      <c r="K339" t="n">
        <v>0</v>
      </c>
      <c r="L339" t="n">
        <v>0</v>
      </c>
      <c r="M339" t="n">
        <v>0</v>
      </c>
      <c r="N339" t="n">
        <v>0</v>
      </c>
      <c r="O339" t="n">
        <v>0</v>
      </c>
      <c r="P339" t="n">
        <v>0</v>
      </c>
      <c r="Q339" t="n">
        <v>0</v>
      </c>
      <c r="R339" s="2" t="inlineStr"/>
    </row>
    <row r="340" ht="15" customHeight="1">
      <c r="A340" t="inlineStr">
        <is>
          <t>A 34732-2022</t>
        </is>
      </c>
      <c r="B340" s="1" t="n">
        <v>44795</v>
      </c>
      <c r="C340" s="1" t="n">
        <v>46192</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1151-2025</t>
        </is>
      </c>
      <c r="B341" s="1" t="n">
        <v>45666</v>
      </c>
      <c r="C341" s="1" t="n">
        <v>46192</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3982-2024</t>
        </is>
      </c>
      <c r="B342" s="1" t="n">
        <v>45322</v>
      </c>
      <c r="C342" s="1" t="n">
        <v>46192</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36133-2021</t>
        </is>
      </c>
      <c r="B343" s="1" t="n">
        <v>44386</v>
      </c>
      <c r="C343" s="1" t="n">
        <v>46192</v>
      </c>
      <c r="D343" t="inlineStr">
        <is>
          <t>SÖDERMANLANDS LÄN</t>
        </is>
      </c>
      <c r="E343" t="inlineStr">
        <is>
          <t>KATRINEHOLM</t>
        </is>
      </c>
      <c r="F343" t="inlineStr">
        <is>
          <t>Övriga Aktiebolag</t>
        </is>
      </c>
      <c r="G343" t="n">
        <v>8.9</v>
      </c>
      <c r="H343" t="n">
        <v>0</v>
      </c>
      <c r="I343" t="n">
        <v>0</v>
      </c>
      <c r="J343" t="n">
        <v>0</v>
      </c>
      <c r="K343" t="n">
        <v>0</v>
      </c>
      <c r="L343" t="n">
        <v>0</v>
      </c>
      <c r="M343" t="n">
        <v>0</v>
      </c>
      <c r="N343" t="n">
        <v>0</v>
      </c>
      <c r="O343" t="n">
        <v>0</v>
      </c>
      <c r="P343" t="n">
        <v>0</v>
      </c>
      <c r="Q343" t="n">
        <v>0</v>
      </c>
      <c r="R343" s="2" t="inlineStr"/>
    </row>
    <row r="344" ht="15" customHeight="1">
      <c r="A344" t="inlineStr">
        <is>
          <t>A 50017-2023</t>
        </is>
      </c>
      <c r="B344" s="1" t="n">
        <v>45215</v>
      </c>
      <c r="C344" s="1" t="n">
        <v>46192</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13086-2023</t>
        </is>
      </c>
      <c r="B345" s="1" t="n">
        <v>45002</v>
      </c>
      <c r="C345" s="1" t="n">
        <v>46192</v>
      </c>
      <c r="D345" t="inlineStr">
        <is>
          <t>SÖDERMANLANDS LÄN</t>
        </is>
      </c>
      <c r="E345" t="inlineStr">
        <is>
          <t>KATRINEHOLM</t>
        </is>
      </c>
      <c r="G345" t="n">
        <v>2.2</v>
      </c>
      <c r="H345" t="n">
        <v>0</v>
      </c>
      <c r="I345" t="n">
        <v>0</v>
      </c>
      <c r="J345" t="n">
        <v>0</v>
      </c>
      <c r="K345" t="n">
        <v>0</v>
      </c>
      <c r="L345" t="n">
        <v>0</v>
      </c>
      <c r="M345" t="n">
        <v>0</v>
      </c>
      <c r="N345" t="n">
        <v>0</v>
      </c>
      <c r="O345" t="n">
        <v>0</v>
      </c>
      <c r="P345" t="n">
        <v>0</v>
      </c>
      <c r="Q345" t="n">
        <v>0</v>
      </c>
      <c r="R345" s="2" t="inlineStr"/>
    </row>
    <row r="346" ht="15" customHeight="1">
      <c r="A346" t="inlineStr">
        <is>
          <t>A 29843-2023</t>
        </is>
      </c>
      <c r="B346" s="1" t="n">
        <v>45107</v>
      </c>
      <c r="C346" s="1" t="n">
        <v>46192</v>
      </c>
      <c r="D346" t="inlineStr">
        <is>
          <t>SÖDERMANLANDS LÄN</t>
        </is>
      </c>
      <c r="E346" t="inlineStr">
        <is>
          <t>KATRINEHOLM</t>
        </is>
      </c>
      <c r="F346" t="inlineStr">
        <is>
          <t>Holmen skog AB</t>
        </is>
      </c>
      <c r="G346" t="n">
        <v>1.8</v>
      </c>
      <c r="H346" t="n">
        <v>0</v>
      </c>
      <c r="I346" t="n">
        <v>0</v>
      </c>
      <c r="J346" t="n">
        <v>0</v>
      </c>
      <c r="K346" t="n">
        <v>0</v>
      </c>
      <c r="L346" t="n">
        <v>0</v>
      </c>
      <c r="M346" t="n">
        <v>0</v>
      </c>
      <c r="N346" t="n">
        <v>0</v>
      </c>
      <c r="O346" t="n">
        <v>0</v>
      </c>
      <c r="P346" t="n">
        <v>0</v>
      </c>
      <c r="Q346" t="n">
        <v>0</v>
      </c>
      <c r="R346" s="2" t="inlineStr"/>
    </row>
    <row r="347" ht="15" customHeight="1">
      <c r="A347" t="inlineStr">
        <is>
          <t>A 56628-2021</t>
        </is>
      </c>
      <c r="B347" s="1" t="n">
        <v>44480</v>
      </c>
      <c r="C347" s="1" t="n">
        <v>46192</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62418-2023</t>
        </is>
      </c>
      <c r="B348" s="1" t="n">
        <v>45268</v>
      </c>
      <c r="C348" s="1" t="n">
        <v>46192</v>
      </c>
      <c r="D348" t="inlineStr">
        <is>
          <t>SÖDERMANLANDS LÄN</t>
        </is>
      </c>
      <c r="E348" t="inlineStr">
        <is>
          <t>KATRINEHOLM</t>
        </is>
      </c>
      <c r="G348" t="n">
        <v>3</v>
      </c>
      <c r="H348" t="n">
        <v>0</v>
      </c>
      <c r="I348" t="n">
        <v>0</v>
      </c>
      <c r="J348" t="n">
        <v>0</v>
      </c>
      <c r="K348" t="n">
        <v>0</v>
      </c>
      <c r="L348" t="n">
        <v>0</v>
      </c>
      <c r="M348" t="n">
        <v>0</v>
      </c>
      <c r="N348" t="n">
        <v>0</v>
      </c>
      <c r="O348" t="n">
        <v>0</v>
      </c>
      <c r="P348" t="n">
        <v>0</v>
      </c>
      <c r="Q348" t="n">
        <v>0</v>
      </c>
      <c r="R348" s="2" t="inlineStr"/>
    </row>
    <row r="349" ht="15" customHeight="1">
      <c r="A349" t="inlineStr">
        <is>
          <t>A 17820-2025</t>
        </is>
      </c>
      <c r="B349" s="1" t="n">
        <v>45758</v>
      </c>
      <c r="C349" s="1" t="n">
        <v>46192</v>
      </c>
      <c r="D349" t="inlineStr">
        <is>
          <t>SÖDERMANLANDS LÄN</t>
        </is>
      </c>
      <c r="E349" t="inlineStr">
        <is>
          <t>KATRINEHOLM</t>
        </is>
      </c>
      <c r="G349" t="n">
        <v>5.9</v>
      </c>
      <c r="H349" t="n">
        <v>0</v>
      </c>
      <c r="I349" t="n">
        <v>0</v>
      </c>
      <c r="J349" t="n">
        <v>0</v>
      </c>
      <c r="K349" t="n">
        <v>0</v>
      </c>
      <c r="L349" t="n">
        <v>0</v>
      </c>
      <c r="M349" t="n">
        <v>0</v>
      </c>
      <c r="N349" t="n">
        <v>0</v>
      </c>
      <c r="O349" t="n">
        <v>0</v>
      </c>
      <c r="P349" t="n">
        <v>0</v>
      </c>
      <c r="Q349" t="n">
        <v>0</v>
      </c>
      <c r="R349" s="2" t="inlineStr"/>
    </row>
    <row r="350" ht="15" customHeight="1">
      <c r="A350" t="inlineStr">
        <is>
          <t>A 60678-2025</t>
        </is>
      </c>
      <c r="B350" s="1" t="n">
        <v>45996</v>
      </c>
      <c r="C350" s="1" t="n">
        <v>46192</v>
      </c>
      <c r="D350" t="inlineStr">
        <is>
          <t>SÖDERMANLANDS LÄN</t>
        </is>
      </c>
      <c r="E350" t="inlineStr">
        <is>
          <t>KATRINEHOLM</t>
        </is>
      </c>
      <c r="G350" t="n">
        <v>2</v>
      </c>
      <c r="H350" t="n">
        <v>0</v>
      </c>
      <c r="I350" t="n">
        <v>0</v>
      </c>
      <c r="J350" t="n">
        <v>0</v>
      </c>
      <c r="K350" t="n">
        <v>0</v>
      </c>
      <c r="L350" t="n">
        <v>0</v>
      </c>
      <c r="M350" t="n">
        <v>0</v>
      </c>
      <c r="N350" t="n">
        <v>0</v>
      </c>
      <c r="O350" t="n">
        <v>0</v>
      </c>
      <c r="P350" t="n">
        <v>0</v>
      </c>
      <c r="Q350" t="n">
        <v>0</v>
      </c>
      <c r="R350" s="2" t="inlineStr"/>
    </row>
    <row r="351" ht="15" customHeight="1">
      <c r="A351" t="inlineStr">
        <is>
          <t>A 57154-2023</t>
        </is>
      </c>
      <c r="B351" s="1" t="n">
        <v>45245</v>
      </c>
      <c r="C351" s="1" t="n">
        <v>46192</v>
      </c>
      <c r="D351" t="inlineStr">
        <is>
          <t>SÖDERMANLANDS LÄN</t>
        </is>
      </c>
      <c r="E351" t="inlineStr">
        <is>
          <t>KATRINEHOLM</t>
        </is>
      </c>
      <c r="F351" t="inlineStr">
        <is>
          <t>Allmännings- och besparingsskogar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48091-2024</t>
        </is>
      </c>
      <c r="B352" s="1" t="n">
        <v>45590</v>
      </c>
      <c r="C352" s="1" t="n">
        <v>46192</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61066-2025</t>
        </is>
      </c>
      <c r="B353" s="1" t="n">
        <v>46000</v>
      </c>
      <c r="C353" s="1" t="n">
        <v>46192</v>
      </c>
      <c r="D353" t="inlineStr">
        <is>
          <t>SÖDERMANLANDS LÄN</t>
        </is>
      </c>
      <c r="E353" t="inlineStr">
        <is>
          <t>KATRINEHOLM</t>
        </is>
      </c>
      <c r="F353" t="inlineStr">
        <is>
          <t>Kyrkan</t>
        </is>
      </c>
      <c r="G353" t="n">
        <v>5</v>
      </c>
      <c r="H353" t="n">
        <v>0</v>
      </c>
      <c r="I353" t="n">
        <v>0</v>
      </c>
      <c r="J353" t="n">
        <v>0</v>
      </c>
      <c r="K353" t="n">
        <v>0</v>
      </c>
      <c r="L353" t="n">
        <v>0</v>
      </c>
      <c r="M353" t="n">
        <v>0</v>
      </c>
      <c r="N353" t="n">
        <v>0</v>
      </c>
      <c r="O353" t="n">
        <v>0</v>
      </c>
      <c r="P353" t="n">
        <v>0</v>
      </c>
      <c r="Q353" t="n">
        <v>0</v>
      </c>
      <c r="R353" s="2" t="inlineStr"/>
    </row>
    <row r="354" ht="15" customHeight="1">
      <c r="A354" t="inlineStr">
        <is>
          <t>A 48160-2022</t>
        </is>
      </c>
      <c r="B354" s="1" t="n">
        <v>44853</v>
      </c>
      <c r="C354" s="1" t="n">
        <v>46192</v>
      </c>
      <c r="D354" t="inlineStr">
        <is>
          <t>SÖDERMANLANDS LÄN</t>
        </is>
      </c>
      <c r="E354" t="inlineStr">
        <is>
          <t>KATRINEHOLM</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18339-2023</t>
        </is>
      </c>
      <c r="B355" s="1" t="n">
        <v>45041</v>
      </c>
      <c r="C355" s="1" t="n">
        <v>46192</v>
      </c>
      <c r="D355" t="inlineStr">
        <is>
          <t>SÖDERMANLANDS LÄN</t>
        </is>
      </c>
      <c r="E355" t="inlineStr">
        <is>
          <t>KATRINEHOLM</t>
        </is>
      </c>
      <c r="G355" t="n">
        <v>1.7</v>
      </c>
      <c r="H355" t="n">
        <v>0</v>
      </c>
      <c r="I355" t="n">
        <v>0</v>
      </c>
      <c r="J355" t="n">
        <v>0</v>
      </c>
      <c r="K355" t="n">
        <v>0</v>
      </c>
      <c r="L355" t="n">
        <v>0</v>
      </c>
      <c r="M355" t="n">
        <v>0</v>
      </c>
      <c r="N355" t="n">
        <v>0</v>
      </c>
      <c r="O355" t="n">
        <v>0</v>
      </c>
      <c r="P355" t="n">
        <v>0</v>
      </c>
      <c r="Q355" t="n">
        <v>0</v>
      </c>
      <c r="R355" s="2" t="inlineStr"/>
    </row>
    <row r="356" ht="15" customHeight="1">
      <c r="A356" t="inlineStr">
        <is>
          <t>A 20460-2025</t>
        </is>
      </c>
      <c r="B356" s="1" t="n">
        <v>45775</v>
      </c>
      <c r="C356" s="1" t="n">
        <v>46192</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49092-2024</t>
        </is>
      </c>
      <c r="B357" s="1" t="n">
        <v>45594</v>
      </c>
      <c r="C357" s="1" t="n">
        <v>46192</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49095-2024</t>
        </is>
      </c>
      <c r="B358" s="1" t="n">
        <v>45594</v>
      </c>
      <c r="C358" s="1" t="n">
        <v>46192</v>
      </c>
      <c r="D358" t="inlineStr">
        <is>
          <t>SÖDERMANLANDS LÄN</t>
        </is>
      </c>
      <c r="E358" t="inlineStr">
        <is>
          <t>KATRINEHOLM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55172-2022</t>
        </is>
      </c>
      <c r="B359" s="1" t="n">
        <v>44886</v>
      </c>
      <c r="C359" s="1" t="n">
        <v>46192</v>
      </c>
      <c r="D359" t="inlineStr">
        <is>
          <t>SÖDERMANLANDS LÄN</t>
        </is>
      </c>
      <c r="E359" t="inlineStr">
        <is>
          <t>KATRINEHOLM</t>
        </is>
      </c>
      <c r="G359" t="n">
        <v>1.3</v>
      </c>
      <c r="H359" t="n">
        <v>0</v>
      </c>
      <c r="I359" t="n">
        <v>0</v>
      </c>
      <c r="J359" t="n">
        <v>0</v>
      </c>
      <c r="K359" t="n">
        <v>0</v>
      </c>
      <c r="L359" t="n">
        <v>0</v>
      </c>
      <c r="M359" t="n">
        <v>0</v>
      </c>
      <c r="N359" t="n">
        <v>0</v>
      </c>
      <c r="O359" t="n">
        <v>0</v>
      </c>
      <c r="P359" t="n">
        <v>0</v>
      </c>
      <c r="Q359" t="n">
        <v>0</v>
      </c>
      <c r="R359" s="2" t="inlineStr"/>
    </row>
    <row r="360" ht="15" customHeight="1">
      <c r="A360" t="inlineStr">
        <is>
          <t>A 50935-2023</t>
        </is>
      </c>
      <c r="B360" s="1" t="n">
        <v>45211</v>
      </c>
      <c r="C360" s="1" t="n">
        <v>46192</v>
      </c>
      <c r="D360" t="inlineStr">
        <is>
          <t>SÖDERMANLANDS LÄN</t>
        </is>
      </c>
      <c r="E360" t="inlineStr">
        <is>
          <t>KATRINEHOLM</t>
        </is>
      </c>
      <c r="G360" t="n">
        <v>0.7</v>
      </c>
      <c r="H360" t="n">
        <v>0</v>
      </c>
      <c r="I360" t="n">
        <v>0</v>
      </c>
      <c r="J360" t="n">
        <v>0</v>
      </c>
      <c r="K360" t="n">
        <v>0</v>
      </c>
      <c r="L360" t="n">
        <v>0</v>
      </c>
      <c r="M360" t="n">
        <v>0</v>
      </c>
      <c r="N360" t="n">
        <v>0</v>
      </c>
      <c r="O360" t="n">
        <v>0</v>
      </c>
      <c r="P360" t="n">
        <v>0</v>
      </c>
      <c r="Q360" t="n">
        <v>0</v>
      </c>
      <c r="R360" s="2" t="inlineStr"/>
    </row>
    <row r="361" ht="15" customHeight="1">
      <c r="A361" t="inlineStr">
        <is>
          <t>A 57265-2022</t>
        </is>
      </c>
      <c r="B361" s="1" t="n">
        <v>44895</v>
      </c>
      <c r="C361" s="1" t="n">
        <v>46192</v>
      </c>
      <c r="D361" t="inlineStr">
        <is>
          <t>SÖDERMANLANDS LÄN</t>
        </is>
      </c>
      <c r="E361" t="inlineStr">
        <is>
          <t>KATRINEHOLM</t>
        </is>
      </c>
      <c r="G361" t="n">
        <v>2</v>
      </c>
      <c r="H361" t="n">
        <v>0</v>
      </c>
      <c r="I361" t="n">
        <v>0</v>
      </c>
      <c r="J361" t="n">
        <v>0</v>
      </c>
      <c r="K361" t="n">
        <v>0</v>
      </c>
      <c r="L361" t="n">
        <v>0</v>
      </c>
      <c r="M361" t="n">
        <v>0</v>
      </c>
      <c r="N361" t="n">
        <v>0</v>
      </c>
      <c r="O361" t="n">
        <v>0</v>
      </c>
      <c r="P361" t="n">
        <v>0</v>
      </c>
      <c r="Q361" t="n">
        <v>0</v>
      </c>
      <c r="R361" s="2" t="inlineStr"/>
    </row>
    <row r="362" ht="15" customHeight="1">
      <c r="A362" t="inlineStr">
        <is>
          <t>A 24619-2024</t>
        </is>
      </c>
      <c r="B362" s="1" t="n">
        <v>45460</v>
      </c>
      <c r="C362" s="1" t="n">
        <v>46192</v>
      </c>
      <c r="D362" t="inlineStr">
        <is>
          <t>SÖDERMANLANDS LÄN</t>
        </is>
      </c>
      <c r="E362" t="inlineStr">
        <is>
          <t>KATRINEHOLM</t>
        </is>
      </c>
      <c r="G362" t="n">
        <v>4.7</v>
      </c>
      <c r="H362" t="n">
        <v>0</v>
      </c>
      <c r="I362" t="n">
        <v>0</v>
      </c>
      <c r="J362" t="n">
        <v>0</v>
      </c>
      <c r="K362" t="n">
        <v>0</v>
      </c>
      <c r="L362" t="n">
        <v>0</v>
      </c>
      <c r="M362" t="n">
        <v>0</v>
      </c>
      <c r="N362" t="n">
        <v>0</v>
      </c>
      <c r="O362" t="n">
        <v>0</v>
      </c>
      <c r="P362" t="n">
        <v>0</v>
      </c>
      <c r="Q362" t="n">
        <v>0</v>
      </c>
      <c r="R362" s="2" t="inlineStr"/>
    </row>
    <row r="363" ht="15" customHeight="1">
      <c r="A363" t="inlineStr">
        <is>
          <t>A 61121-2025</t>
        </is>
      </c>
      <c r="B363" s="1" t="n">
        <v>46000</v>
      </c>
      <c r="C363" s="1" t="n">
        <v>46192</v>
      </c>
      <c r="D363" t="inlineStr">
        <is>
          <t>SÖDERMANLANDS LÄN</t>
        </is>
      </c>
      <c r="E363" t="inlineStr">
        <is>
          <t>KATRINEHOLM</t>
        </is>
      </c>
      <c r="G363" t="n">
        <v>0.2</v>
      </c>
      <c r="H363" t="n">
        <v>0</v>
      </c>
      <c r="I363" t="n">
        <v>0</v>
      </c>
      <c r="J363" t="n">
        <v>0</v>
      </c>
      <c r="K363" t="n">
        <v>0</v>
      </c>
      <c r="L363" t="n">
        <v>0</v>
      </c>
      <c r="M363" t="n">
        <v>0</v>
      </c>
      <c r="N363" t="n">
        <v>0</v>
      </c>
      <c r="O363" t="n">
        <v>0</v>
      </c>
      <c r="P363" t="n">
        <v>0</v>
      </c>
      <c r="Q363" t="n">
        <v>0</v>
      </c>
      <c r="R363" s="2" t="inlineStr"/>
    </row>
    <row r="364" ht="15" customHeight="1">
      <c r="A364" t="inlineStr">
        <is>
          <t>A 6298-2024</t>
        </is>
      </c>
      <c r="B364" s="1" t="n">
        <v>45338</v>
      </c>
      <c r="C364" s="1" t="n">
        <v>46192</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61721-2025</t>
        </is>
      </c>
      <c r="B365" s="1" t="n">
        <v>46002</v>
      </c>
      <c r="C365" s="1" t="n">
        <v>46192</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53843-2023</t>
        </is>
      </c>
      <c r="B366" s="1" t="n">
        <v>45230</v>
      </c>
      <c r="C366" s="1" t="n">
        <v>46192</v>
      </c>
      <c r="D366" t="inlineStr">
        <is>
          <t>SÖDERMANLANDS LÄN</t>
        </is>
      </c>
      <c r="E366" t="inlineStr">
        <is>
          <t>KATRINEHOLM</t>
        </is>
      </c>
      <c r="G366" t="n">
        <v>14.2</v>
      </c>
      <c r="H366" t="n">
        <v>0</v>
      </c>
      <c r="I366" t="n">
        <v>0</v>
      </c>
      <c r="J366" t="n">
        <v>0</v>
      </c>
      <c r="K366" t="n">
        <v>0</v>
      </c>
      <c r="L366" t="n">
        <v>0</v>
      </c>
      <c r="M366" t="n">
        <v>0</v>
      </c>
      <c r="N366" t="n">
        <v>0</v>
      </c>
      <c r="O366" t="n">
        <v>0</v>
      </c>
      <c r="P366" t="n">
        <v>0</v>
      </c>
      <c r="Q366" t="n">
        <v>0</v>
      </c>
      <c r="R366" s="2" t="inlineStr"/>
    </row>
    <row r="367" ht="15" customHeight="1">
      <c r="A367" t="inlineStr">
        <is>
          <t>A 22295-2024</t>
        </is>
      </c>
      <c r="B367" s="1" t="n">
        <v>45446</v>
      </c>
      <c r="C367" s="1" t="n">
        <v>46192</v>
      </c>
      <c r="D367" t="inlineStr">
        <is>
          <t>SÖDERMANLANDS LÄN</t>
        </is>
      </c>
      <c r="E367" t="inlineStr">
        <is>
          <t>KATRINEHOLM</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22272-2022</t>
        </is>
      </c>
      <c r="B368" s="1" t="n">
        <v>44712</v>
      </c>
      <c r="C368" s="1" t="n">
        <v>46192</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48877-2022</t>
        </is>
      </c>
      <c r="B369" s="1" t="n">
        <v>44859</v>
      </c>
      <c r="C369" s="1" t="n">
        <v>46192</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53715-2023</t>
        </is>
      </c>
      <c r="B370" s="1" t="n">
        <v>45230</v>
      </c>
      <c r="C370" s="1" t="n">
        <v>46192</v>
      </c>
      <c r="D370" t="inlineStr">
        <is>
          <t>SÖDERMANLANDS LÄN</t>
        </is>
      </c>
      <c r="E370" t="inlineStr">
        <is>
          <t>KATRINEHOLM</t>
        </is>
      </c>
      <c r="F370" t="inlineStr">
        <is>
          <t>Allmännings- och besparingsskogar</t>
        </is>
      </c>
      <c r="G370" t="n">
        <v>5.6</v>
      </c>
      <c r="H370" t="n">
        <v>0</v>
      </c>
      <c r="I370" t="n">
        <v>0</v>
      </c>
      <c r="J370" t="n">
        <v>0</v>
      </c>
      <c r="K370" t="n">
        <v>0</v>
      </c>
      <c r="L370" t="n">
        <v>0</v>
      </c>
      <c r="M370" t="n">
        <v>0</v>
      </c>
      <c r="N370" t="n">
        <v>0</v>
      </c>
      <c r="O370" t="n">
        <v>0</v>
      </c>
      <c r="P370" t="n">
        <v>0</v>
      </c>
      <c r="Q370" t="n">
        <v>0</v>
      </c>
      <c r="R370" s="2" t="inlineStr"/>
    </row>
    <row r="371" ht="15" customHeight="1">
      <c r="A371" t="inlineStr">
        <is>
          <t>A 58175-2024</t>
        </is>
      </c>
      <c r="B371" s="1" t="n">
        <v>45632</v>
      </c>
      <c r="C371" s="1" t="n">
        <v>46192</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59474-2021</t>
        </is>
      </c>
      <c r="B372" s="1" t="n">
        <v>44491</v>
      </c>
      <c r="C372" s="1" t="n">
        <v>46192</v>
      </c>
      <c r="D372" t="inlineStr">
        <is>
          <t>SÖDERMANLANDS LÄN</t>
        </is>
      </c>
      <c r="E372" t="inlineStr">
        <is>
          <t>KATRINEHOLM</t>
        </is>
      </c>
      <c r="G372" t="n">
        <v>2.7</v>
      </c>
      <c r="H372" t="n">
        <v>0</v>
      </c>
      <c r="I372" t="n">
        <v>0</v>
      </c>
      <c r="J372" t="n">
        <v>0</v>
      </c>
      <c r="K372" t="n">
        <v>0</v>
      </c>
      <c r="L372" t="n">
        <v>0</v>
      </c>
      <c r="M372" t="n">
        <v>0</v>
      </c>
      <c r="N372" t="n">
        <v>0</v>
      </c>
      <c r="O372" t="n">
        <v>0</v>
      </c>
      <c r="P372" t="n">
        <v>0</v>
      </c>
      <c r="Q372" t="n">
        <v>0</v>
      </c>
      <c r="R372" s="2" t="inlineStr"/>
    </row>
    <row r="373" ht="15" customHeight="1">
      <c r="A373" t="inlineStr">
        <is>
          <t>A 34539-2022</t>
        </is>
      </c>
      <c r="B373" s="1" t="n">
        <v>44793</v>
      </c>
      <c r="C373" s="1" t="n">
        <v>46192</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51923-2023</t>
        </is>
      </c>
      <c r="B374" s="1" t="n">
        <v>45223</v>
      </c>
      <c r="C374" s="1" t="n">
        <v>46192</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3115-2024</t>
        </is>
      </c>
      <c r="B375" s="1" t="n">
        <v>45316</v>
      </c>
      <c r="C375" s="1" t="n">
        <v>46192</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27875-2024</t>
        </is>
      </c>
      <c r="B376" s="1" t="n">
        <v>45475</v>
      </c>
      <c r="C376" s="1" t="n">
        <v>46192</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23705-2023</t>
        </is>
      </c>
      <c r="B377" s="1" t="n">
        <v>45077</v>
      </c>
      <c r="C377" s="1" t="n">
        <v>46192</v>
      </c>
      <c r="D377" t="inlineStr">
        <is>
          <t>SÖDERMANLANDS LÄN</t>
        </is>
      </c>
      <c r="E377" t="inlineStr">
        <is>
          <t>KATRINEHOLM</t>
        </is>
      </c>
      <c r="F377" t="inlineStr">
        <is>
          <t>Kyrkan</t>
        </is>
      </c>
      <c r="G377" t="n">
        <v>11.9</v>
      </c>
      <c r="H377" t="n">
        <v>0</v>
      </c>
      <c r="I377" t="n">
        <v>0</v>
      </c>
      <c r="J377" t="n">
        <v>0</v>
      </c>
      <c r="K377" t="n">
        <v>0</v>
      </c>
      <c r="L377" t="n">
        <v>0</v>
      </c>
      <c r="M377" t="n">
        <v>0</v>
      </c>
      <c r="N377" t="n">
        <v>0</v>
      </c>
      <c r="O377" t="n">
        <v>0</v>
      </c>
      <c r="P377" t="n">
        <v>0</v>
      </c>
      <c r="Q377" t="n">
        <v>0</v>
      </c>
      <c r="R377" s="2" t="inlineStr"/>
    </row>
    <row r="378" ht="15" customHeight="1">
      <c r="A378" t="inlineStr">
        <is>
          <t>A 52769-2023</t>
        </is>
      </c>
      <c r="B378" s="1" t="n">
        <v>45226</v>
      </c>
      <c r="C378" s="1" t="n">
        <v>46192</v>
      </c>
      <c r="D378" t="inlineStr">
        <is>
          <t>SÖDERMANLANDS LÄN</t>
        </is>
      </c>
      <c r="E378" t="inlineStr">
        <is>
          <t>KATRINEHOLM</t>
        </is>
      </c>
      <c r="G378" t="n">
        <v>0.5</v>
      </c>
      <c r="H378" t="n">
        <v>0</v>
      </c>
      <c r="I378" t="n">
        <v>0</v>
      </c>
      <c r="J378" t="n">
        <v>0</v>
      </c>
      <c r="K378" t="n">
        <v>0</v>
      </c>
      <c r="L378" t="n">
        <v>0</v>
      </c>
      <c r="M378" t="n">
        <v>0</v>
      </c>
      <c r="N378" t="n">
        <v>0</v>
      </c>
      <c r="O378" t="n">
        <v>0</v>
      </c>
      <c r="P378" t="n">
        <v>0</v>
      </c>
      <c r="Q378" t="n">
        <v>0</v>
      </c>
      <c r="R378" s="2" t="inlineStr"/>
    </row>
    <row r="379" ht="15" customHeight="1">
      <c r="A379" t="inlineStr">
        <is>
          <t>A 43088-2022</t>
        </is>
      </c>
      <c r="B379" s="1" t="n">
        <v>44833</v>
      </c>
      <c r="C379" s="1" t="n">
        <v>46192</v>
      </c>
      <c r="D379" t="inlineStr">
        <is>
          <t>SÖDERMANLANDS LÄN</t>
        </is>
      </c>
      <c r="E379" t="inlineStr">
        <is>
          <t>KATRINEHOLM</t>
        </is>
      </c>
      <c r="G379" t="n">
        <v>6.6</v>
      </c>
      <c r="H379" t="n">
        <v>0</v>
      </c>
      <c r="I379" t="n">
        <v>0</v>
      </c>
      <c r="J379" t="n">
        <v>0</v>
      </c>
      <c r="K379" t="n">
        <v>0</v>
      </c>
      <c r="L379" t="n">
        <v>0</v>
      </c>
      <c r="M379" t="n">
        <v>0</v>
      </c>
      <c r="N379" t="n">
        <v>0</v>
      </c>
      <c r="O379" t="n">
        <v>0</v>
      </c>
      <c r="P379" t="n">
        <v>0</v>
      </c>
      <c r="Q379" t="n">
        <v>0</v>
      </c>
      <c r="R379" s="2" t="inlineStr"/>
    </row>
    <row r="380" ht="15" customHeight="1">
      <c r="A380" t="inlineStr">
        <is>
          <t>A 7223-2022</t>
        </is>
      </c>
      <c r="B380" s="1" t="n">
        <v>44603</v>
      </c>
      <c r="C380" s="1" t="n">
        <v>46192</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61385-2023</t>
        </is>
      </c>
      <c r="B381" s="1" t="n">
        <v>45264</v>
      </c>
      <c r="C381" s="1" t="n">
        <v>46192</v>
      </c>
      <c r="D381" t="inlineStr">
        <is>
          <t>SÖDERMANLANDS LÄN</t>
        </is>
      </c>
      <c r="E381" t="inlineStr">
        <is>
          <t>KATRINEHOLM</t>
        </is>
      </c>
      <c r="G381" t="n">
        <v>0.4</v>
      </c>
      <c r="H381" t="n">
        <v>0</v>
      </c>
      <c r="I381" t="n">
        <v>0</v>
      </c>
      <c r="J381" t="n">
        <v>0</v>
      </c>
      <c r="K381" t="n">
        <v>0</v>
      </c>
      <c r="L381" t="n">
        <v>0</v>
      </c>
      <c r="M381" t="n">
        <v>0</v>
      </c>
      <c r="N381" t="n">
        <v>0</v>
      </c>
      <c r="O381" t="n">
        <v>0</v>
      </c>
      <c r="P381" t="n">
        <v>0</v>
      </c>
      <c r="Q381" t="n">
        <v>0</v>
      </c>
      <c r="R381" s="2" t="inlineStr"/>
    </row>
    <row r="382" ht="15" customHeight="1">
      <c r="A382" t="inlineStr">
        <is>
          <t>A 51446-2023</t>
        </is>
      </c>
      <c r="B382" s="1" t="n">
        <v>45220</v>
      </c>
      <c r="C382" s="1" t="n">
        <v>46192</v>
      </c>
      <c r="D382" t="inlineStr">
        <is>
          <t>SÖDERMANLANDS LÄN</t>
        </is>
      </c>
      <c r="E382" t="inlineStr">
        <is>
          <t>KATRINEHOLM</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48030-2022</t>
        </is>
      </c>
      <c r="B383" s="1" t="n">
        <v>44855</v>
      </c>
      <c r="C383" s="1" t="n">
        <v>46192</v>
      </c>
      <c r="D383" t="inlineStr">
        <is>
          <t>SÖDERMANLANDS LÄN</t>
        </is>
      </c>
      <c r="E383" t="inlineStr">
        <is>
          <t>KATRINEHOLM</t>
        </is>
      </c>
      <c r="F383" t="inlineStr">
        <is>
          <t>Allmännings- och besparingsskogar</t>
        </is>
      </c>
      <c r="G383" t="n">
        <v>1.5</v>
      </c>
      <c r="H383" t="n">
        <v>0</v>
      </c>
      <c r="I383" t="n">
        <v>0</v>
      </c>
      <c r="J383" t="n">
        <v>0</v>
      </c>
      <c r="K383" t="n">
        <v>0</v>
      </c>
      <c r="L383" t="n">
        <v>0</v>
      </c>
      <c r="M383" t="n">
        <v>0</v>
      </c>
      <c r="N383" t="n">
        <v>0</v>
      </c>
      <c r="O383" t="n">
        <v>0</v>
      </c>
      <c r="P383" t="n">
        <v>0</v>
      </c>
      <c r="Q383" t="n">
        <v>0</v>
      </c>
      <c r="R383" s="2" t="inlineStr"/>
    </row>
    <row r="384" ht="15" customHeight="1">
      <c r="A384" t="inlineStr">
        <is>
          <t>A 10932-2023</t>
        </is>
      </c>
      <c r="B384" s="1" t="n">
        <v>44985</v>
      </c>
      <c r="C384" s="1" t="n">
        <v>46192</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63947-2025</t>
        </is>
      </c>
      <c r="B385" s="1" t="n">
        <v>46010</v>
      </c>
      <c r="C385" s="1" t="n">
        <v>46192</v>
      </c>
      <c r="D385" t="inlineStr">
        <is>
          <t>SÖDERMANLANDS LÄN</t>
        </is>
      </c>
      <c r="E385" t="inlineStr">
        <is>
          <t>KATRINEHOLM</t>
        </is>
      </c>
      <c r="F385" t="inlineStr">
        <is>
          <t>Allmännings- och besparingsskogar</t>
        </is>
      </c>
      <c r="G385" t="n">
        <v>4.8</v>
      </c>
      <c r="H385" t="n">
        <v>0</v>
      </c>
      <c r="I385" t="n">
        <v>0</v>
      </c>
      <c r="J385" t="n">
        <v>0</v>
      </c>
      <c r="K385" t="n">
        <v>0</v>
      </c>
      <c r="L385" t="n">
        <v>0</v>
      </c>
      <c r="M385" t="n">
        <v>0</v>
      </c>
      <c r="N385" t="n">
        <v>0</v>
      </c>
      <c r="O385" t="n">
        <v>0</v>
      </c>
      <c r="P385" t="n">
        <v>0</v>
      </c>
      <c r="Q385" t="n">
        <v>0</v>
      </c>
      <c r="R385" s="2" t="inlineStr"/>
    </row>
    <row r="386" ht="15" customHeight="1">
      <c r="A386" t="inlineStr">
        <is>
          <t>A 63949-2025</t>
        </is>
      </c>
      <c r="B386" s="1" t="n">
        <v>46010</v>
      </c>
      <c r="C386" s="1" t="n">
        <v>46192</v>
      </c>
      <c r="D386" t="inlineStr">
        <is>
          <t>SÖDERMANLANDS LÄN</t>
        </is>
      </c>
      <c r="E386" t="inlineStr">
        <is>
          <t>KATRINEHOLM</t>
        </is>
      </c>
      <c r="F386" t="inlineStr">
        <is>
          <t>Allmännings- och besparingsskogar</t>
        </is>
      </c>
      <c r="G386" t="n">
        <v>5.1</v>
      </c>
      <c r="H386" t="n">
        <v>0</v>
      </c>
      <c r="I386" t="n">
        <v>0</v>
      </c>
      <c r="J386" t="n">
        <v>0</v>
      </c>
      <c r="K386" t="n">
        <v>0</v>
      </c>
      <c r="L386" t="n">
        <v>0</v>
      </c>
      <c r="M386" t="n">
        <v>0</v>
      </c>
      <c r="N386" t="n">
        <v>0</v>
      </c>
      <c r="O386" t="n">
        <v>0</v>
      </c>
      <c r="P386" t="n">
        <v>0</v>
      </c>
      <c r="Q386" t="n">
        <v>0</v>
      </c>
      <c r="R386" s="2" t="inlineStr"/>
    </row>
    <row r="387" ht="15" customHeight="1">
      <c r="A387" t="inlineStr">
        <is>
          <t>A 63948-2025</t>
        </is>
      </c>
      <c r="B387" s="1" t="n">
        <v>46010</v>
      </c>
      <c r="C387" s="1" t="n">
        <v>46192</v>
      </c>
      <c r="D387" t="inlineStr">
        <is>
          <t>SÖDERMANLANDS LÄN</t>
        </is>
      </c>
      <c r="E387" t="inlineStr">
        <is>
          <t>KATRINEHOLM</t>
        </is>
      </c>
      <c r="F387" t="inlineStr">
        <is>
          <t>Allmännings- och besparingsskogar</t>
        </is>
      </c>
      <c r="G387" t="n">
        <v>4.9</v>
      </c>
      <c r="H387" t="n">
        <v>0</v>
      </c>
      <c r="I387" t="n">
        <v>0</v>
      </c>
      <c r="J387" t="n">
        <v>0</v>
      </c>
      <c r="K387" t="n">
        <v>0</v>
      </c>
      <c r="L387" t="n">
        <v>0</v>
      </c>
      <c r="M387" t="n">
        <v>0</v>
      </c>
      <c r="N387" t="n">
        <v>0</v>
      </c>
      <c r="O387" t="n">
        <v>0</v>
      </c>
      <c r="P387" t="n">
        <v>0</v>
      </c>
      <c r="Q387" t="n">
        <v>0</v>
      </c>
      <c r="R387" s="2" t="inlineStr"/>
    </row>
    <row r="388" ht="15" customHeight="1">
      <c r="A388" t="inlineStr">
        <is>
          <t>A 36767-2022</t>
        </is>
      </c>
      <c r="B388" s="1" t="n">
        <v>44805</v>
      </c>
      <c r="C388" s="1" t="n">
        <v>46192</v>
      </c>
      <c r="D388" t="inlineStr">
        <is>
          <t>SÖDERMANLANDS LÄN</t>
        </is>
      </c>
      <c r="E388" t="inlineStr">
        <is>
          <t>KATRINEHOLM</t>
        </is>
      </c>
      <c r="G388" t="n">
        <v>1.1</v>
      </c>
      <c r="H388" t="n">
        <v>0</v>
      </c>
      <c r="I388" t="n">
        <v>0</v>
      </c>
      <c r="J388" t="n">
        <v>0</v>
      </c>
      <c r="K388" t="n">
        <v>0</v>
      </c>
      <c r="L388" t="n">
        <v>0</v>
      </c>
      <c r="M388" t="n">
        <v>0</v>
      </c>
      <c r="N388" t="n">
        <v>0</v>
      </c>
      <c r="O388" t="n">
        <v>0</v>
      </c>
      <c r="P388" t="n">
        <v>0</v>
      </c>
      <c r="Q388" t="n">
        <v>0</v>
      </c>
      <c r="R388" s="2" t="inlineStr"/>
    </row>
    <row r="389" ht="15" customHeight="1">
      <c r="A389" t="inlineStr">
        <is>
          <t>A 27646-2023</t>
        </is>
      </c>
      <c r="B389" s="1" t="n">
        <v>45097</v>
      </c>
      <c r="C389" s="1" t="n">
        <v>46192</v>
      </c>
      <c r="D389" t="inlineStr">
        <is>
          <t>SÖDERMANLANDS LÄN</t>
        </is>
      </c>
      <c r="E389" t="inlineStr">
        <is>
          <t>KATRINEHOLM</t>
        </is>
      </c>
      <c r="G389" t="n">
        <v>2.4</v>
      </c>
      <c r="H389" t="n">
        <v>0</v>
      </c>
      <c r="I389" t="n">
        <v>0</v>
      </c>
      <c r="J389" t="n">
        <v>0</v>
      </c>
      <c r="K389" t="n">
        <v>0</v>
      </c>
      <c r="L389" t="n">
        <v>0</v>
      </c>
      <c r="M389" t="n">
        <v>0</v>
      </c>
      <c r="N389" t="n">
        <v>0</v>
      </c>
      <c r="O389" t="n">
        <v>0</v>
      </c>
      <c r="P389" t="n">
        <v>0</v>
      </c>
      <c r="Q389" t="n">
        <v>0</v>
      </c>
      <c r="R389" s="2" t="inlineStr"/>
    </row>
    <row r="390" ht="15" customHeight="1">
      <c r="A390" t="inlineStr">
        <is>
          <t>A 5834-2025</t>
        </is>
      </c>
      <c r="B390" s="1" t="n">
        <v>45694</v>
      </c>
      <c r="C390" s="1" t="n">
        <v>46192</v>
      </c>
      <c r="D390" t="inlineStr">
        <is>
          <t>SÖDERMANLANDS LÄN</t>
        </is>
      </c>
      <c r="E390" t="inlineStr">
        <is>
          <t>KATRINEHOLM</t>
        </is>
      </c>
      <c r="G390" t="n">
        <v>3.3</v>
      </c>
      <c r="H390" t="n">
        <v>0</v>
      </c>
      <c r="I390" t="n">
        <v>0</v>
      </c>
      <c r="J390" t="n">
        <v>0</v>
      </c>
      <c r="K390" t="n">
        <v>0</v>
      </c>
      <c r="L390" t="n">
        <v>0</v>
      </c>
      <c r="M390" t="n">
        <v>0</v>
      </c>
      <c r="N390" t="n">
        <v>0</v>
      </c>
      <c r="O390" t="n">
        <v>0</v>
      </c>
      <c r="P390" t="n">
        <v>0</v>
      </c>
      <c r="Q390" t="n">
        <v>0</v>
      </c>
      <c r="R390" s="2" t="inlineStr"/>
    </row>
    <row r="391" ht="15" customHeight="1">
      <c r="A391" t="inlineStr">
        <is>
          <t>A 50626-2024</t>
        </is>
      </c>
      <c r="B391" s="1" t="n">
        <v>45601</v>
      </c>
      <c r="C391" s="1" t="n">
        <v>46192</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row>
    <row r="392" ht="15" customHeight="1">
      <c r="A392" t="inlineStr">
        <is>
          <t>A 35183-2022</t>
        </is>
      </c>
      <c r="B392" s="1" t="n">
        <v>44797</v>
      </c>
      <c r="C392" s="1" t="n">
        <v>46192</v>
      </c>
      <c r="D392" t="inlineStr">
        <is>
          <t>SÖDERMANLANDS LÄN</t>
        </is>
      </c>
      <c r="E392" t="inlineStr">
        <is>
          <t>KATRINEHOLM</t>
        </is>
      </c>
      <c r="G392" t="n">
        <v>4.6</v>
      </c>
      <c r="H392" t="n">
        <v>0</v>
      </c>
      <c r="I392" t="n">
        <v>0</v>
      </c>
      <c r="J392" t="n">
        <v>0</v>
      </c>
      <c r="K392" t="n">
        <v>0</v>
      </c>
      <c r="L392" t="n">
        <v>0</v>
      </c>
      <c r="M392" t="n">
        <v>0</v>
      </c>
      <c r="N392" t="n">
        <v>0</v>
      </c>
      <c r="O392" t="n">
        <v>0</v>
      </c>
      <c r="P392" t="n">
        <v>0</v>
      </c>
      <c r="Q392" t="n">
        <v>0</v>
      </c>
      <c r="R392" s="2" t="inlineStr"/>
    </row>
    <row r="393" ht="15" customHeight="1">
      <c r="A393" t="inlineStr">
        <is>
          <t>A 9899-2023</t>
        </is>
      </c>
      <c r="B393" s="1" t="n">
        <v>44985</v>
      </c>
      <c r="C393" s="1" t="n">
        <v>46192</v>
      </c>
      <c r="D393" t="inlineStr">
        <is>
          <t>SÖDERMANLANDS LÄN</t>
        </is>
      </c>
      <c r="E393" t="inlineStr">
        <is>
          <t>KATRINEHOLM</t>
        </is>
      </c>
      <c r="F393" t="inlineStr">
        <is>
          <t>Allmännings- och besparingsskogar</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34263-2023</t>
        </is>
      </c>
      <c r="B394" s="1" t="n">
        <v>45138</v>
      </c>
      <c r="C394" s="1" t="n">
        <v>46192</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12888-2025</t>
        </is>
      </c>
      <c r="B395" s="1" t="n">
        <v>45733</v>
      </c>
      <c r="C395" s="1" t="n">
        <v>46192</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7197-2023</t>
        </is>
      </c>
      <c r="B396" s="1" t="n">
        <v>44965</v>
      </c>
      <c r="C396" s="1" t="n">
        <v>46192</v>
      </c>
      <c r="D396" t="inlineStr">
        <is>
          <t>SÖDERMANLANDS LÄN</t>
        </is>
      </c>
      <c r="E396" t="inlineStr">
        <is>
          <t>KATRINEHOLM</t>
        </is>
      </c>
      <c r="G396" t="n">
        <v>5.3</v>
      </c>
      <c r="H396" t="n">
        <v>0</v>
      </c>
      <c r="I396" t="n">
        <v>0</v>
      </c>
      <c r="J396" t="n">
        <v>0</v>
      </c>
      <c r="K396" t="n">
        <v>0</v>
      </c>
      <c r="L396" t="n">
        <v>0</v>
      </c>
      <c r="M396" t="n">
        <v>0</v>
      </c>
      <c r="N396" t="n">
        <v>0</v>
      </c>
      <c r="O396" t="n">
        <v>0</v>
      </c>
      <c r="P396" t="n">
        <v>0</v>
      </c>
      <c r="Q396" t="n">
        <v>0</v>
      </c>
      <c r="R396" s="2" t="inlineStr"/>
    </row>
    <row r="397" ht="15" customHeight="1">
      <c r="A397" t="inlineStr">
        <is>
          <t>A 28394-2023</t>
        </is>
      </c>
      <c r="B397" s="1" t="n">
        <v>45100</v>
      </c>
      <c r="C397" s="1" t="n">
        <v>46192</v>
      </c>
      <c r="D397" t="inlineStr">
        <is>
          <t>SÖDERMANLANDS LÄN</t>
        </is>
      </c>
      <c r="E397" t="inlineStr">
        <is>
          <t>KATRINEHOLM</t>
        </is>
      </c>
      <c r="G397" t="n">
        <v>4.2</v>
      </c>
      <c r="H397" t="n">
        <v>0</v>
      </c>
      <c r="I397" t="n">
        <v>0</v>
      </c>
      <c r="J397" t="n">
        <v>0</v>
      </c>
      <c r="K397" t="n">
        <v>0</v>
      </c>
      <c r="L397" t="n">
        <v>0</v>
      </c>
      <c r="M397" t="n">
        <v>0</v>
      </c>
      <c r="N397" t="n">
        <v>0</v>
      </c>
      <c r="O397" t="n">
        <v>0</v>
      </c>
      <c r="P397" t="n">
        <v>0</v>
      </c>
      <c r="Q397" t="n">
        <v>0</v>
      </c>
      <c r="R397" s="2" t="inlineStr"/>
    </row>
    <row r="398" ht="15" customHeight="1">
      <c r="A398" t="inlineStr">
        <is>
          <t>A 55863-2022</t>
        </is>
      </c>
      <c r="B398" s="1" t="n">
        <v>44888</v>
      </c>
      <c r="C398" s="1" t="n">
        <v>46192</v>
      </c>
      <c r="D398" t="inlineStr">
        <is>
          <t>SÖDERMANLANDS LÄN</t>
        </is>
      </c>
      <c r="E398" t="inlineStr">
        <is>
          <t>KATRINEHOLM</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55865-2022</t>
        </is>
      </c>
      <c r="B399" s="1" t="n">
        <v>44888</v>
      </c>
      <c r="C399" s="1" t="n">
        <v>46192</v>
      </c>
      <c r="D399" t="inlineStr">
        <is>
          <t>SÖDERMANLANDS LÄN</t>
        </is>
      </c>
      <c r="E399" t="inlineStr">
        <is>
          <t>KATRINEHOLM</t>
        </is>
      </c>
      <c r="G399" t="n">
        <v>9.1</v>
      </c>
      <c r="H399" t="n">
        <v>0</v>
      </c>
      <c r="I399" t="n">
        <v>0</v>
      </c>
      <c r="J399" t="n">
        <v>0</v>
      </c>
      <c r="K399" t="n">
        <v>0</v>
      </c>
      <c r="L399" t="n">
        <v>0</v>
      </c>
      <c r="M399" t="n">
        <v>0</v>
      </c>
      <c r="N399" t="n">
        <v>0</v>
      </c>
      <c r="O399" t="n">
        <v>0</v>
      </c>
      <c r="P399" t="n">
        <v>0</v>
      </c>
      <c r="Q399" t="n">
        <v>0</v>
      </c>
      <c r="R399" s="2" t="inlineStr"/>
    </row>
    <row r="400" ht="15" customHeight="1">
      <c r="A400" t="inlineStr">
        <is>
          <t>A 10341-2022</t>
        </is>
      </c>
      <c r="B400" s="1" t="n">
        <v>44623</v>
      </c>
      <c r="C400" s="1" t="n">
        <v>46192</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9437-2022</t>
        </is>
      </c>
      <c r="B401" s="1" t="n">
        <v>44616</v>
      </c>
      <c r="C401" s="1" t="n">
        <v>46192</v>
      </c>
      <c r="D401" t="inlineStr">
        <is>
          <t>SÖDERMANLANDS LÄN</t>
        </is>
      </c>
      <c r="E401" t="inlineStr">
        <is>
          <t>KATRINEHOLM</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22345-2023</t>
        </is>
      </c>
      <c r="B402" s="1" t="n">
        <v>45070</v>
      </c>
      <c r="C402" s="1" t="n">
        <v>46192</v>
      </c>
      <c r="D402" t="inlineStr">
        <is>
          <t>SÖDERMANLANDS LÄN</t>
        </is>
      </c>
      <c r="E402" t="inlineStr">
        <is>
          <t>KATRINEHOLM</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48528-2021</t>
        </is>
      </c>
      <c r="B403" s="1" t="n">
        <v>44449</v>
      </c>
      <c r="C403" s="1" t="n">
        <v>46192</v>
      </c>
      <c r="D403" t="inlineStr">
        <is>
          <t>SÖDERMANLANDS LÄN</t>
        </is>
      </c>
      <c r="E403" t="inlineStr">
        <is>
          <t>KATRINEHOLM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28675-2024</t>
        </is>
      </c>
      <c r="B404" s="1" t="n">
        <v>45478</v>
      </c>
      <c r="C404" s="1" t="n">
        <v>46192</v>
      </c>
      <c r="D404" t="inlineStr">
        <is>
          <t>SÖDERMANLANDS LÄN</t>
        </is>
      </c>
      <c r="E404" t="inlineStr">
        <is>
          <t>KATRINEHOLM</t>
        </is>
      </c>
      <c r="F404" t="inlineStr">
        <is>
          <t>Övriga Aktiebolag</t>
        </is>
      </c>
      <c r="G404" t="n">
        <v>3.5</v>
      </c>
      <c r="H404" t="n">
        <v>0</v>
      </c>
      <c r="I404" t="n">
        <v>0</v>
      </c>
      <c r="J404" t="n">
        <v>0</v>
      </c>
      <c r="K404" t="n">
        <v>0</v>
      </c>
      <c r="L404" t="n">
        <v>0</v>
      </c>
      <c r="M404" t="n">
        <v>0</v>
      </c>
      <c r="N404" t="n">
        <v>0</v>
      </c>
      <c r="O404" t="n">
        <v>0</v>
      </c>
      <c r="P404" t="n">
        <v>0</v>
      </c>
      <c r="Q404" t="n">
        <v>0</v>
      </c>
      <c r="R404" s="2" t="inlineStr"/>
    </row>
    <row r="405" ht="15" customHeight="1">
      <c r="A405" t="inlineStr">
        <is>
          <t>A 25362-2023</t>
        </is>
      </c>
      <c r="B405" s="1" t="n">
        <v>45088</v>
      </c>
      <c r="C405" s="1" t="n">
        <v>46192</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33790-2024</t>
        </is>
      </c>
      <c r="B406" s="1" t="n">
        <v>45520</v>
      </c>
      <c r="C406" s="1" t="n">
        <v>46192</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63895-2025</t>
        </is>
      </c>
      <c r="B407" s="1" t="n">
        <v>46020</v>
      </c>
      <c r="C407" s="1" t="n">
        <v>46192</v>
      </c>
      <c r="D407" t="inlineStr">
        <is>
          <t>SÖDERMANLANDS LÄN</t>
        </is>
      </c>
      <c r="E407" t="inlineStr">
        <is>
          <t>KATRINEHOLM</t>
        </is>
      </c>
      <c r="G407" t="n">
        <v>1.5</v>
      </c>
      <c r="H407" t="n">
        <v>0</v>
      </c>
      <c r="I407" t="n">
        <v>0</v>
      </c>
      <c r="J407" t="n">
        <v>0</v>
      </c>
      <c r="K407" t="n">
        <v>0</v>
      </c>
      <c r="L407" t="n">
        <v>0</v>
      </c>
      <c r="M407" t="n">
        <v>0</v>
      </c>
      <c r="N407" t="n">
        <v>0</v>
      </c>
      <c r="O407" t="n">
        <v>0</v>
      </c>
      <c r="P407" t="n">
        <v>0</v>
      </c>
      <c r="Q407" t="n">
        <v>0</v>
      </c>
      <c r="R407" s="2" t="inlineStr"/>
    </row>
    <row r="408" ht="15" customHeight="1">
      <c r="A408" t="inlineStr">
        <is>
          <t>A 41267-2023</t>
        </is>
      </c>
      <c r="B408" s="1" t="n">
        <v>45174</v>
      </c>
      <c r="C408" s="1" t="n">
        <v>46192</v>
      </c>
      <c r="D408" t="inlineStr">
        <is>
          <t>SÖDERMANLANDS LÄN</t>
        </is>
      </c>
      <c r="E408" t="inlineStr">
        <is>
          <t>KATRINEHOLM</t>
        </is>
      </c>
      <c r="F408" t="inlineStr">
        <is>
          <t>Holmen skog AB</t>
        </is>
      </c>
      <c r="G408" t="n">
        <v>4.5</v>
      </c>
      <c r="H408" t="n">
        <v>0</v>
      </c>
      <c r="I408" t="n">
        <v>0</v>
      </c>
      <c r="J408" t="n">
        <v>0</v>
      </c>
      <c r="K408" t="n">
        <v>0</v>
      </c>
      <c r="L408" t="n">
        <v>0</v>
      </c>
      <c r="M408" t="n">
        <v>0</v>
      </c>
      <c r="N408" t="n">
        <v>0</v>
      </c>
      <c r="O408" t="n">
        <v>0</v>
      </c>
      <c r="P408" t="n">
        <v>0</v>
      </c>
      <c r="Q408" t="n">
        <v>0</v>
      </c>
      <c r="R408" s="2" t="inlineStr"/>
    </row>
    <row r="409" ht="15" customHeight="1">
      <c r="A409" t="inlineStr">
        <is>
          <t>A 47456-2022</t>
        </is>
      </c>
      <c r="B409" s="1" t="n">
        <v>44852</v>
      </c>
      <c r="C409" s="1" t="n">
        <v>46192</v>
      </c>
      <c r="D409" t="inlineStr">
        <is>
          <t>SÖDERMANLANDS LÄN</t>
        </is>
      </c>
      <c r="E409" t="inlineStr">
        <is>
          <t>KATRINEHOLM</t>
        </is>
      </c>
      <c r="G409" t="n">
        <v>3.7</v>
      </c>
      <c r="H409" t="n">
        <v>0</v>
      </c>
      <c r="I409" t="n">
        <v>0</v>
      </c>
      <c r="J409" t="n">
        <v>0</v>
      </c>
      <c r="K409" t="n">
        <v>0</v>
      </c>
      <c r="L409" t="n">
        <v>0</v>
      </c>
      <c r="M409" t="n">
        <v>0</v>
      </c>
      <c r="N409" t="n">
        <v>0</v>
      </c>
      <c r="O409" t="n">
        <v>0</v>
      </c>
      <c r="P409" t="n">
        <v>0</v>
      </c>
      <c r="Q409" t="n">
        <v>0</v>
      </c>
      <c r="R409" s="2" t="inlineStr"/>
    </row>
    <row r="410" ht="15" customHeight="1">
      <c r="A410" t="inlineStr">
        <is>
          <t>A 54873-2025</t>
        </is>
      </c>
      <c r="B410" s="1" t="n">
        <v>45967</v>
      </c>
      <c r="C410" s="1" t="n">
        <v>46192</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53809-2021</t>
        </is>
      </c>
      <c r="B411" s="1" t="n">
        <v>44467</v>
      </c>
      <c r="C411" s="1" t="n">
        <v>46192</v>
      </c>
      <c r="D411" t="inlineStr">
        <is>
          <t>SÖDERMANLANDS LÄN</t>
        </is>
      </c>
      <c r="E411" t="inlineStr">
        <is>
          <t>KATRINEHOLM</t>
        </is>
      </c>
      <c r="G411" t="n">
        <v>7</v>
      </c>
      <c r="H411" t="n">
        <v>0</v>
      </c>
      <c r="I411" t="n">
        <v>0</v>
      </c>
      <c r="J411" t="n">
        <v>0</v>
      </c>
      <c r="K411" t="n">
        <v>0</v>
      </c>
      <c r="L411" t="n">
        <v>0</v>
      </c>
      <c r="M411" t="n">
        <v>0</v>
      </c>
      <c r="N411" t="n">
        <v>0</v>
      </c>
      <c r="O411" t="n">
        <v>0</v>
      </c>
      <c r="P411" t="n">
        <v>0</v>
      </c>
      <c r="Q411" t="n">
        <v>0</v>
      </c>
      <c r="R411" s="2" t="inlineStr"/>
    </row>
    <row r="412" ht="15" customHeight="1">
      <c r="A412" t="inlineStr">
        <is>
          <t>A 4656-2023</t>
        </is>
      </c>
      <c r="B412" s="1" t="n">
        <v>44957</v>
      </c>
      <c r="C412" s="1" t="n">
        <v>46192</v>
      </c>
      <c r="D412" t="inlineStr">
        <is>
          <t>SÖDERMANLANDS LÄN</t>
        </is>
      </c>
      <c r="E412" t="inlineStr">
        <is>
          <t>KATRINEHOLM</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49078-2024</t>
        </is>
      </c>
      <c r="B413" s="1" t="n">
        <v>45594</v>
      </c>
      <c r="C413" s="1" t="n">
        <v>46192</v>
      </c>
      <c r="D413" t="inlineStr">
        <is>
          <t>SÖDERMANLANDS LÄN</t>
        </is>
      </c>
      <c r="E413" t="inlineStr">
        <is>
          <t>KATRINEHOLM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4758-2025</t>
        </is>
      </c>
      <c r="B414" s="1" t="n">
        <v>45688</v>
      </c>
      <c r="C414" s="1" t="n">
        <v>46192</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35188-2022</t>
        </is>
      </c>
      <c r="B415" s="1" t="n">
        <v>44797</v>
      </c>
      <c r="C415" s="1" t="n">
        <v>46192</v>
      </c>
      <c r="D415" t="inlineStr">
        <is>
          <t>SÖDERMANLANDS LÄN</t>
        </is>
      </c>
      <c r="E415" t="inlineStr">
        <is>
          <t>KATRINEHOLM</t>
        </is>
      </c>
      <c r="G415" t="n">
        <v>3</v>
      </c>
      <c r="H415" t="n">
        <v>0</v>
      </c>
      <c r="I415" t="n">
        <v>0</v>
      </c>
      <c r="J415" t="n">
        <v>0</v>
      </c>
      <c r="K415" t="n">
        <v>0</v>
      </c>
      <c r="L415" t="n">
        <v>0</v>
      </c>
      <c r="M415" t="n">
        <v>0</v>
      </c>
      <c r="N415" t="n">
        <v>0</v>
      </c>
      <c r="O415" t="n">
        <v>0</v>
      </c>
      <c r="P415" t="n">
        <v>0</v>
      </c>
      <c r="Q415" t="n">
        <v>0</v>
      </c>
      <c r="R415" s="2" t="inlineStr"/>
    </row>
    <row r="416" ht="15" customHeight="1">
      <c r="A416" t="inlineStr">
        <is>
          <t>A 5327-2025</t>
        </is>
      </c>
      <c r="B416" s="1" t="n">
        <v>45692</v>
      </c>
      <c r="C416" s="1" t="n">
        <v>46192</v>
      </c>
      <c r="D416" t="inlineStr">
        <is>
          <t>SÖDERMANLANDS LÄN</t>
        </is>
      </c>
      <c r="E416" t="inlineStr">
        <is>
          <t>KATRINEHOLM</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1114-2026</t>
        </is>
      </c>
      <c r="B417" s="1" t="n">
        <v>46030</v>
      </c>
      <c r="C417" s="1" t="n">
        <v>46192</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4655-2024</t>
        </is>
      </c>
      <c r="B418" s="1" t="n">
        <v>45328</v>
      </c>
      <c r="C418" s="1" t="n">
        <v>46192</v>
      </c>
      <c r="D418" t="inlineStr">
        <is>
          <t>SÖDERMANLANDS LÄN</t>
        </is>
      </c>
      <c r="E418" t="inlineStr">
        <is>
          <t>KATRINEHOLM</t>
        </is>
      </c>
      <c r="G418" t="n">
        <v>17.7</v>
      </c>
      <c r="H418" t="n">
        <v>0</v>
      </c>
      <c r="I418" t="n">
        <v>0</v>
      </c>
      <c r="J418" t="n">
        <v>0</v>
      </c>
      <c r="K418" t="n">
        <v>0</v>
      </c>
      <c r="L418" t="n">
        <v>0</v>
      </c>
      <c r="M418" t="n">
        <v>0</v>
      </c>
      <c r="N418" t="n">
        <v>0</v>
      </c>
      <c r="O418" t="n">
        <v>0</v>
      </c>
      <c r="P418" t="n">
        <v>0</v>
      </c>
      <c r="Q418" t="n">
        <v>0</v>
      </c>
      <c r="R418" s="2" t="inlineStr"/>
    </row>
    <row r="419" ht="15" customHeight="1">
      <c r="A419" t="inlineStr">
        <is>
          <t>A 1098-2026</t>
        </is>
      </c>
      <c r="B419" s="1" t="n">
        <v>46030</v>
      </c>
      <c r="C419" s="1" t="n">
        <v>46192</v>
      </c>
      <c r="D419" t="inlineStr">
        <is>
          <t>SÖDERMANLANDS LÄN</t>
        </is>
      </c>
      <c r="E419" t="inlineStr">
        <is>
          <t>KATRINEHOLM</t>
        </is>
      </c>
      <c r="G419" t="n">
        <v>3.4</v>
      </c>
      <c r="H419" t="n">
        <v>0</v>
      </c>
      <c r="I419" t="n">
        <v>0</v>
      </c>
      <c r="J419" t="n">
        <v>0</v>
      </c>
      <c r="K419" t="n">
        <v>0</v>
      </c>
      <c r="L419" t="n">
        <v>0</v>
      </c>
      <c r="M419" t="n">
        <v>0</v>
      </c>
      <c r="N419" t="n">
        <v>0</v>
      </c>
      <c r="O419" t="n">
        <v>0</v>
      </c>
      <c r="P419" t="n">
        <v>0</v>
      </c>
      <c r="Q419" t="n">
        <v>0</v>
      </c>
      <c r="R419" s="2" t="inlineStr"/>
    </row>
    <row r="420" ht="15" customHeight="1">
      <c r="A420" t="inlineStr">
        <is>
          <t>A 50316-2023</t>
        </is>
      </c>
      <c r="B420" s="1" t="n">
        <v>45209</v>
      </c>
      <c r="C420" s="1" t="n">
        <v>46192</v>
      </c>
      <c r="D420" t="inlineStr">
        <is>
          <t>SÖDERMANLANDS LÄN</t>
        </is>
      </c>
      <c r="E420" t="inlineStr">
        <is>
          <t>KATRINEHOLM</t>
        </is>
      </c>
      <c r="G420" t="n">
        <v>1.9</v>
      </c>
      <c r="H420" t="n">
        <v>0</v>
      </c>
      <c r="I420" t="n">
        <v>0</v>
      </c>
      <c r="J420" t="n">
        <v>0</v>
      </c>
      <c r="K420" t="n">
        <v>0</v>
      </c>
      <c r="L420" t="n">
        <v>0</v>
      </c>
      <c r="M420" t="n">
        <v>0</v>
      </c>
      <c r="N420" t="n">
        <v>0</v>
      </c>
      <c r="O420" t="n">
        <v>0</v>
      </c>
      <c r="P420" t="n">
        <v>0</v>
      </c>
      <c r="Q420" t="n">
        <v>0</v>
      </c>
      <c r="R420" s="2" t="inlineStr"/>
    </row>
    <row r="421" ht="15" customHeight="1">
      <c r="A421" t="inlineStr">
        <is>
          <t>A 52348-2021</t>
        </is>
      </c>
      <c r="B421" s="1" t="n">
        <v>44464</v>
      </c>
      <c r="C421" s="1" t="n">
        <v>46192</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5795-2022</t>
        </is>
      </c>
      <c r="B422" s="1" t="n">
        <v>44596</v>
      </c>
      <c r="C422" s="1" t="n">
        <v>46192</v>
      </c>
      <c r="D422" t="inlineStr">
        <is>
          <t>SÖDERMANLANDS LÄN</t>
        </is>
      </c>
      <c r="E422" t="inlineStr">
        <is>
          <t>KATRINEHOLM</t>
        </is>
      </c>
      <c r="G422" t="n">
        <v>8.1</v>
      </c>
      <c r="H422" t="n">
        <v>0</v>
      </c>
      <c r="I422" t="n">
        <v>0</v>
      </c>
      <c r="J422" t="n">
        <v>0</v>
      </c>
      <c r="K422" t="n">
        <v>0</v>
      </c>
      <c r="L422" t="n">
        <v>0</v>
      </c>
      <c r="M422" t="n">
        <v>0</v>
      </c>
      <c r="N422" t="n">
        <v>0</v>
      </c>
      <c r="O422" t="n">
        <v>0</v>
      </c>
      <c r="P422" t="n">
        <v>0</v>
      </c>
      <c r="Q422" t="n">
        <v>0</v>
      </c>
      <c r="R422" s="2" t="inlineStr"/>
    </row>
    <row r="423" ht="15" customHeight="1">
      <c r="A423" t="inlineStr">
        <is>
          <t>A 51404-2023</t>
        </is>
      </c>
      <c r="B423" s="1" t="n">
        <v>45214</v>
      </c>
      <c r="C423" s="1" t="n">
        <v>46192</v>
      </c>
      <c r="D423" t="inlineStr">
        <is>
          <t>SÖDERMANLANDS LÄN</t>
        </is>
      </c>
      <c r="E423" t="inlineStr">
        <is>
          <t>KATRINEHOLM</t>
        </is>
      </c>
      <c r="G423" t="n">
        <v>9</v>
      </c>
      <c r="H423" t="n">
        <v>0</v>
      </c>
      <c r="I423" t="n">
        <v>0</v>
      </c>
      <c r="J423" t="n">
        <v>0</v>
      </c>
      <c r="K423" t="n">
        <v>0</v>
      </c>
      <c r="L423" t="n">
        <v>0</v>
      </c>
      <c r="M423" t="n">
        <v>0</v>
      </c>
      <c r="N423" t="n">
        <v>0</v>
      </c>
      <c r="O423" t="n">
        <v>0</v>
      </c>
      <c r="P423" t="n">
        <v>0</v>
      </c>
      <c r="Q423" t="n">
        <v>0</v>
      </c>
      <c r="R423" s="2" t="inlineStr"/>
    </row>
    <row r="424" ht="15" customHeight="1">
      <c r="A424" t="inlineStr">
        <is>
          <t>A 55590-2023</t>
        </is>
      </c>
      <c r="B424" s="1" t="n">
        <v>45238</v>
      </c>
      <c r="C424" s="1" t="n">
        <v>46192</v>
      </c>
      <c r="D424" t="inlineStr">
        <is>
          <t>SÖDERMANLANDS LÄN</t>
        </is>
      </c>
      <c r="E424" t="inlineStr">
        <is>
          <t>KATRINEHOLM</t>
        </is>
      </c>
      <c r="G424" t="n">
        <v>4.5</v>
      </c>
      <c r="H424" t="n">
        <v>0</v>
      </c>
      <c r="I424" t="n">
        <v>0</v>
      </c>
      <c r="J424" t="n">
        <v>0</v>
      </c>
      <c r="K424" t="n">
        <v>0</v>
      </c>
      <c r="L424" t="n">
        <v>0</v>
      </c>
      <c r="M424" t="n">
        <v>0</v>
      </c>
      <c r="N424" t="n">
        <v>0</v>
      </c>
      <c r="O424" t="n">
        <v>0</v>
      </c>
      <c r="P424" t="n">
        <v>0</v>
      </c>
      <c r="Q424" t="n">
        <v>0</v>
      </c>
      <c r="R424" s="2" t="inlineStr"/>
    </row>
    <row r="425" ht="15" customHeight="1">
      <c r="A425" t="inlineStr">
        <is>
          <t>A 46257-2021</t>
        </is>
      </c>
      <c r="B425" s="1" t="n">
        <v>44442</v>
      </c>
      <c r="C425" s="1" t="n">
        <v>46192</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5320-2025</t>
        </is>
      </c>
      <c r="B426" s="1" t="n">
        <v>45692</v>
      </c>
      <c r="C426" s="1" t="n">
        <v>46192</v>
      </c>
      <c r="D426" t="inlineStr">
        <is>
          <t>SÖDERMANLANDS LÄN</t>
        </is>
      </c>
      <c r="E426" t="inlineStr">
        <is>
          <t>KATRINEHOLM</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49914-2023</t>
        </is>
      </c>
      <c r="B427" s="1" t="n">
        <v>45214</v>
      </c>
      <c r="C427" s="1" t="n">
        <v>46192</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44637-2023</t>
        </is>
      </c>
      <c r="B428" s="1" t="n">
        <v>45189</v>
      </c>
      <c r="C428" s="1" t="n">
        <v>46192</v>
      </c>
      <c r="D428" t="inlineStr">
        <is>
          <t>SÖDERMANLANDS LÄN</t>
        </is>
      </c>
      <c r="E428" t="inlineStr">
        <is>
          <t>KATRINEHOLM</t>
        </is>
      </c>
      <c r="G428" t="n">
        <v>5.1</v>
      </c>
      <c r="H428" t="n">
        <v>0</v>
      </c>
      <c r="I428" t="n">
        <v>0</v>
      </c>
      <c r="J428" t="n">
        <v>0</v>
      </c>
      <c r="K428" t="n">
        <v>0</v>
      </c>
      <c r="L428" t="n">
        <v>0</v>
      </c>
      <c r="M428" t="n">
        <v>0</v>
      </c>
      <c r="N428" t="n">
        <v>0</v>
      </c>
      <c r="O428" t="n">
        <v>0</v>
      </c>
      <c r="P428" t="n">
        <v>0</v>
      </c>
      <c r="Q428" t="n">
        <v>0</v>
      </c>
      <c r="R428" s="2" t="inlineStr"/>
    </row>
    <row r="429" ht="15" customHeight="1">
      <c r="A429" t="inlineStr">
        <is>
          <t>A 20921-2023</t>
        </is>
      </c>
      <c r="B429" s="1" t="n">
        <v>45061</v>
      </c>
      <c r="C429" s="1" t="n">
        <v>46192</v>
      </c>
      <c r="D429" t="inlineStr">
        <is>
          <t>SÖDERMANLANDS LÄN</t>
        </is>
      </c>
      <c r="E429" t="inlineStr">
        <is>
          <t>KATRINEHOLM</t>
        </is>
      </c>
      <c r="G429" t="n">
        <v>8.9</v>
      </c>
      <c r="H429" t="n">
        <v>0</v>
      </c>
      <c r="I429" t="n">
        <v>0</v>
      </c>
      <c r="J429" t="n">
        <v>0</v>
      </c>
      <c r="K429" t="n">
        <v>0</v>
      </c>
      <c r="L429" t="n">
        <v>0</v>
      </c>
      <c r="M429" t="n">
        <v>0</v>
      </c>
      <c r="N429" t="n">
        <v>0</v>
      </c>
      <c r="O429" t="n">
        <v>0</v>
      </c>
      <c r="P429" t="n">
        <v>0</v>
      </c>
      <c r="Q429" t="n">
        <v>0</v>
      </c>
      <c r="R429" s="2" t="inlineStr"/>
    </row>
    <row r="430" ht="15" customHeight="1">
      <c r="A430" t="inlineStr">
        <is>
          <t>A 15898-2022</t>
        </is>
      </c>
      <c r="B430" s="1" t="n">
        <v>44664</v>
      </c>
      <c r="C430" s="1" t="n">
        <v>46192</v>
      </c>
      <c r="D430" t="inlineStr">
        <is>
          <t>SÖDERMANLANDS LÄN</t>
        </is>
      </c>
      <c r="E430" t="inlineStr">
        <is>
          <t>KATRINEHOLM</t>
        </is>
      </c>
      <c r="G430" t="n">
        <v>6.5</v>
      </c>
      <c r="H430" t="n">
        <v>0</v>
      </c>
      <c r="I430" t="n">
        <v>0</v>
      </c>
      <c r="J430" t="n">
        <v>0</v>
      </c>
      <c r="K430" t="n">
        <v>0</v>
      </c>
      <c r="L430" t="n">
        <v>0</v>
      </c>
      <c r="M430" t="n">
        <v>0</v>
      </c>
      <c r="N430" t="n">
        <v>0</v>
      </c>
      <c r="O430" t="n">
        <v>0</v>
      </c>
      <c r="P430" t="n">
        <v>0</v>
      </c>
      <c r="Q430" t="n">
        <v>0</v>
      </c>
      <c r="R430" s="2" t="inlineStr"/>
    </row>
    <row r="431" ht="15" customHeight="1">
      <c r="A431" t="inlineStr">
        <is>
          <t>A 15910-2022</t>
        </is>
      </c>
      <c r="B431" s="1" t="n">
        <v>44664</v>
      </c>
      <c r="C431" s="1" t="n">
        <v>46192</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64605-2023</t>
        </is>
      </c>
      <c r="B432" s="1" t="n">
        <v>45281</v>
      </c>
      <c r="C432" s="1" t="n">
        <v>46192</v>
      </c>
      <c r="D432" t="inlineStr">
        <is>
          <t>SÖDERMANLANDS LÄN</t>
        </is>
      </c>
      <c r="E432" t="inlineStr">
        <is>
          <t>KATRINEHOLM</t>
        </is>
      </c>
      <c r="G432" t="n">
        <v>0.5</v>
      </c>
      <c r="H432" t="n">
        <v>0</v>
      </c>
      <c r="I432" t="n">
        <v>0</v>
      </c>
      <c r="J432" t="n">
        <v>0</v>
      </c>
      <c r="K432" t="n">
        <v>0</v>
      </c>
      <c r="L432" t="n">
        <v>0</v>
      </c>
      <c r="M432" t="n">
        <v>0</v>
      </c>
      <c r="N432" t="n">
        <v>0</v>
      </c>
      <c r="O432" t="n">
        <v>0</v>
      </c>
      <c r="P432" t="n">
        <v>0</v>
      </c>
      <c r="Q432" t="n">
        <v>0</v>
      </c>
      <c r="R432" s="2" t="inlineStr"/>
    </row>
    <row r="433" ht="15" customHeight="1">
      <c r="A433" t="inlineStr">
        <is>
          <t>A 64652-2023</t>
        </is>
      </c>
      <c r="B433" s="1" t="n">
        <v>45281</v>
      </c>
      <c r="C433" s="1" t="n">
        <v>46192</v>
      </c>
      <c r="D433" t="inlineStr">
        <is>
          <t>SÖDERMANLANDS LÄN</t>
        </is>
      </c>
      <c r="E433" t="inlineStr">
        <is>
          <t>KATRINEHOLM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12929-2023</t>
        </is>
      </c>
      <c r="B434" s="1" t="n">
        <v>45001</v>
      </c>
      <c r="C434" s="1" t="n">
        <v>46192</v>
      </c>
      <c r="D434" t="inlineStr">
        <is>
          <t>SÖDERMANLANDS LÄN</t>
        </is>
      </c>
      <c r="E434" t="inlineStr">
        <is>
          <t>KATRINEHOLM</t>
        </is>
      </c>
      <c r="G434" t="n">
        <v>3.1</v>
      </c>
      <c r="H434" t="n">
        <v>0</v>
      </c>
      <c r="I434" t="n">
        <v>0</v>
      </c>
      <c r="J434" t="n">
        <v>0</v>
      </c>
      <c r="K434" t="n">
        <v>0</v>
      </c>
      <c r="L434" t="n">
        <v>0</v>
      </c>
      <c r="M434" t="n">
        <v>0</v>
      </c>
      <c r="N434" t="n">
        <v>0</v>
      </c>
      <c r="O434" t="n">
        <v>0</v>
      </c>
      <c r="P434" t="n">
        <v>0</v>
      </c>
      <c r="Q434" t="n">
        <v>0</v>
      </c>
      <c r="R434" s="2" t="inlineStr"/>
    </row>
    <row r="435" ht="15" customHeight="1">
      <c r="A435" t="inlineStr">
        <is>
          <t>A 12932-2023</t>
        </is>
      </c>
      <c r="B435" s="1" t="n">
        <v>45001</v>
      </c>
      <c r="C435" s="1" t="n">
        <v>46192</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6446-2022</t>
        </is>
      </c>
      <c r="B436" s="1" t="n">
        <v>44600</v>
      </c>
      <c r="C436" s="1" t="n">
        <v>46192</v>
      </c>
      <c r="D436" t="inlineStr">
        <is>
          <t>SÖDERMANLANDS LÄN</t>
        </is>
      </c>
      <c r="E436" t="inlineStr">
        <is>
          <t>KATRINEHOLM</t>
        </is>
      </c>
      <c r="G436" t="n">
        <v>1.5</v>
      </c>
      <c r="H436" t="n">
        <v>0</v>
      </c>
      <c r="I436" t="n">
        <v>0</v>
      </c>
      <c r="J436" t="n">
        <v>0</v>
      </c>
      <c r="K436" t="n">
        <v>0</v>
      </c>
      <c r="L436" t="n">
        <v>0</v>
      </c>
      <c r="M436" t="n">
        <v>0</v>
      </c>
      <c r="N436" t="n">
        <v>0</v>
      </c>
      <c r="O436" t="n">
        <v>0</v>
      </c>
      <c r="P436" t="n">
        <v>0</v>
      </c>
      <c r="Q436" t="n">
        <v>0</v>
      </c>
      <c r="R436" s="2" t="inlineStr"/>
    </row>
    <row r="437" ht="15" customHeight="1">
      <c r="A437" t="inlineStr">
        <is>
          <t>A 4724-2023</t>
        </is>
      </c>
      <c r="B437" s="1" t="n">
        <v>44957</v>
      </c>
      <c r="C437" s="1" t="n">
        <v>46192</v>
      </c>
      <c r="D437" t="inlineStr">
        <is>
          <t>SÖDERMANLANDS LÄN</t>
        </is>
      </c>
      <c r="E437" t="inlineStr">
        <is>
          <t>KATRINEHOLM</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61431-2024</t>
        </is>
      </c>
      <c r="B438" s="1" t="n">
        <v>45646</v>
      </c>
      <c r="C438" s="1" t="n">
        <v>46192</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2672-2026</t>
        </is>
      </c>
      <c r="B439" s="1" t="n">
        <v>46037</v>
      </c>
      <c r="C439" s="1" t="n">
        <v>46192</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29830-2023</t>
        </is>
      </c>
      <c r="B440" s="1" t="n">
        <v>45107</v>
      </c>
      <c r="C440" s="1" t="n">
        <v>46192</v>
      </c>
      <c r="D440" t="inlineStr">
        <is>
          <t>SÖDERMANLANDS LÄN</t>
        </is>
      </c>
      <c r="E440" t="inlineStr">
        <is>
          <t>KATRINEHOLM</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24097-2022</t>
        </is>
      </c>
      <c r="B441" s="1" t="n">
        <v>44725</v>
      </c>
      <c r="C441" s="1" t="n">
        <v>46192</v>
      </c>
      <c r="D441" t="inlineStr">
        <is>
          <t>SÖDERMANLANDS LÄN</t>
        </is>
      </c>
      <c r="E441" t="inlineStr">
        <is>
          <t>KATRINEHOLM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28582-2024</t>
        </is>
      </c>
      <c r="B442" s="1" t="n">
        <v>45478</v>
      </c>
      <c r="C442" s="1" t="n">
        <v>46192</v>
      </c>
      <c r="D442" t="inlineStr">
        <is>
          <t>SÖDERMANLANDS LÄN</t>
        </is>
      </c>
      <c r="E442" t="inlineStr">
        <is>
          <t>KATRINEHOLM</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29394-2024</t>
        </is>
      </c>
      <c r="B443" s="1" t="n">
        <v>45483</v>
      </c>
      <c r="C443" s="1" t="n">
        <v>46192</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53393-2023</t>
        </is>
      </c>
      <c r="B444" s="1" t="n">
        <v>45229</v>
      </c>
      <c r="C444" s="1" t="n">
        <v>46192</v>
      </c>
      <c r="D444" t="inlineStr">
        <is>
          <t>SÖDERMANLANDS LÄN</t>
        </is>
      </c>
      <c r="E444" t="inlineStr">
        <is>
          <t>KATRINEHOLM</t>
        </is>
      </c>
      <c r="F444" t="inlineStr">
        <is>
          <t>Kyrkan</t>
        </is>
      </c>
      <c r="G444" t="n">
        <v>5.6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46192</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40744-2022</t>
        </is>
      </c>
      <c r="B446" s="1" t="n">
        <v>44824</v>
      </c>
      <c r="C446" s="1" t="n">
        <v>46192</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15392-2023</t>
        </is>
      </c>
      <c r="B447" s="1" t="n">
        <v>45016</v>
      </c>
      <c r="C447" s="1" t="n">
        <v>46192</v>
      </c>
      <c r="D447" t="inlineStr">
        <is>
          <t>SÖDERMANLANDS LÄN</t>
        </is>
      </c>
      <c r="E447" t="inlineStr">
        <is>
          <t>KATRINEHOLM</t>
        </is>
      </c>
      <c r="F447" t="inlineStr">
        <is>
          <t>Övriga Aktiebolag</t>
        </is>
      </c>
      <c r="G447" t="n">
        <v>2.7</v>
      </c>
      <c r="H447" t="n">
        <v>0</v>
      </c>
      <c r="I447" t="n">
        <v>0</v>
      </c>
      <c r="J447" t="n">
        <v>0</v>
      </c>
      <c r="K447" t="n">
        <v>0</v>
      </c>
      <c r="L447" t="n">
        <v>0</v>
      </c>
      <c r="M447" t="n">
        <v>0</v>
      </c>
      <c r="N447" t="n">
        <v>0</v>
      </c>
      <c r="O447" t="n">
        <v>0</v>
      </c>
      <c r="P447" t="n">
        <v>0</v>
      </c>
      <c r="Q447" t="n">
        <v>0</v>
      </c>
      <c r="R447" s="2" t="inlineStr"/>
    </row>
    <row r="448" ht="15" customHeight="1">
      <c r="A448" t="inlineStr">
        <is>
          <t>A 4645-2024</t>
        </is>
      </c>
      <c r="B448" s="1" t="n">
        <v>45328</v>
      </c>
      <c r="C448" s="1" t="n">
        <v>46192</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30387-2022</t>
        </is>
      </c>
      <c r="B449" s="1" t="n">
        <v>44760</v>
      </c>
      <c r="C449" s="1" t="n">
        <v>46192</v>
      </c>
      <c r="D449" t="inlineStr">
        <is>
          <t>SÖDERMANLANDS LÄN</t>
        </is>
      </c>
      <c r="E449" t="inlineStr">
        <is>
          <t>KATRINEHOLM</t>
        </is>
      </c>
      <c r="G449" t="n">
        <v>1.9</v>
      </c>
      <c r="H449" t="n">
        <v>0</v>
      </c>
      <c r="I449" t="n">
        <v>0</v>
      </c>
      <c r="J449" t="n">
        <v>0</v>
      </c>
      <c r="K449" t="n">
        <v>0</v>
      </c>
      <c r="L449" t="n">
        <v>0</v>
      </c>
      <c r="M449" t="n">
        <v>0</v>
      </c>
      <c r="N449" t="n">
        <v>0</v>
      </c>
      <c r="O449" t="n">
        <v>0</v>
      </c>
      <c r="P449" t="n">
        <v>0</v>
      </c>
      <c r="Q449" t="n">
        <v>0</v>
      </c>
      <c r="R449" s="2" t="inlineStr"/>
    </row>
    <row r="450" ht="15" customHeight="1">
      <c r="A450" t="inlineStr">
        <is>
          <t>A 28508-2023</t>
        </is>
      </c>
      <c r="B450" s="1" t="n">
        <v>45103</v>
      </c>
      <c r="C450" s="1" t="n">
        <v>46192</v>
      </c>
      <c r="D450" t="inlineStr">
        <is>
          <t>SÖDERMANLANDS LÄN</t>
        </is>
      </c>
      <c r="E450" t="inlineStr">
        <is>
          <t>KATRINEHOLM</t>
        </is>
      </c>
      <c r="F450" t="inlineStr">
        <is>
          <t>Kyrkan</t>
        </is>
      </c>
      <c r="G450" t="n">
        <v>20.5</v>
      </c>
      <c r="H450" t="n">
        <v>0</v>
      </c>
      <c r="I450" t="n">
        <v>0</v>
      </c>
      <c r="J450" t="n">
        <v>0</v>
      </c>
      <c r="K450" t="n">
        <v>0</v>
      </c>
      <c r="L450" t="n">
        <v>0</v>
      </c>
      <c r="M450" t="n">
        <v>0</v>
      </c>
      <c r="N450" t="n">
        <v>0</v>
      </c>
      <c r="O450" t="n">
        <v>0</v>
      </c>
      <c r="P450" t="n">
        <v>0</v>
      </c>
      <c r="Q450" t="n">
        <v>0</v>
      </c>
      <c r="R450" s="2" t="inlineStr"/>
    </row>
    <row r="451" ht="15" customHeight="1">
      <c r="A451" t="inlineStr">
        <is>
          <t>A 47889-2023</t>
        </is>
      </c>
      <c r="B451" s="1" t="n">
        <v>45204</v>
      </c>
      <c r="C451" s="1" t="n">
        <v>46192</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61394-2024</t>
        </is>
      </c>
      <c r="B452" s="1" t="n">
        <v>45646</v>
      </c>
      <c r="C452" s="1" t="n">
        <v>46192</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12975-2022</t>
        </is>
      </c>
      <c r="B453" s="1" t="n">
        <v>44643</v>
      </c>
      <c r="C453" s="1" t="n">
        <v>46192</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9668-2023</t>
        </is>
      </c>
      <c r="B454" s="1" t="n">
        <v>44984</v>
      </c>
      <c r="C454" s="1" t="n">
        <v>46192</v>
      </c>
      <c r="D454" t="inlineStr">
        <is>
          <t>SÖDERMANLANDS LÄN</t>
        </is>
      </c>
      <c r="E454" t="inlineStr">
        <is>
          <t>KATRINEHOLM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29977-2023</t>
        </is>
      </c>
      <c r="B455" s="1" t="n">
        <v>45108</v>
      </c>
      <c r="C455" s="1" t="n">
        <v>46192</v>
      </c>
      <c r="D455" t="inlineStr">
        <is>
          <t>SÖDERMANLANDS LÄN</t>
        </is>
      </c>
      <c r="E455" t="inlineStr">
        <is>
          <t>KATRINEHOLM</t>
        </is>
      </c>
      <c r="G455" t="n">
        <v>2.4</v>
      </c>
      <c r="H455" t="n">
        <v>0</v>
      </c>
      <c r="I455" t="n">
        <v>0</v>
      </c>
      <c r="J455" t="n">
        <v>0</v>
      </c>
      <c r="K455" t="n">
        <v>0</v>
      </c>
      <c r="L455" t="n">
        <v>0</v>
      </c>
      <c r="M455" t="n">
        <v>0</v>
      </c>
      <c r="N455" t="n">
        <v>0</v>
      </c>
      <c r="O455" t="n">
        <v>0</v>
      </c>
      <c r="P455" t="n">
        <v>0</v>
      </c>
      <c r="Q455" t="n">
        <v>0</v>
      </c>
      <c r="R455" s="2" t="inlineStr"/>
    </row>
    <row r="456" ht="15" customHeight="1">
      <c r="A456" t="inlineStr">
        <is>
          <t>A 931-2023</t>
        </is>
      </c>
      <c r="B456" s="1" t="n">
        <v>44932</v>
      </c>
      <c r="C456" s="1" t="n">
        <v>46192</v>
      </c>
      <c r="D456" t="inlineStr">
        <is>
          <t>SÖDERMANLANDS LÄN</t>
        </is>
      </c>
      <c r="E456" t="inlineStr">
        <is>
          <t>KATRINEHOLM</t>
        </is>
      </c>
      <c r="G456" t="n">
        <v>4</v>
      </c>
      <c r="H456" t="n">
        <v>0</v>
      </c>
      <c r="I456" t="n">
        <v>0</v>
      </c>
      <c r="J456" t="n">
        <v>0</v>
      </c>
      <c r="K456" t="n">
        <v>0</v>
      </c>
      <c r="L456" t="n">
        <v>0</v>
      </c>
      <c r="M456" t="n">
        <v>0</v>
      </c>
      <c r="N456" t="n">
        <v>0</v>
      </c>
      <c r="O456" t="n">
        <v>0</v>
      </c>
      <c r="P456" t="n">
        <v>0</v>
      </c>
      <c r="Q456" t="n">
        <v>0</v>
      </c>
      <c r="R456" s="2" t="inlineStr"/>
    </row>
    <row r="457" ht="15" customHeight="1">
      <c r="A457" t="inlineStr">
        <is>
          <t>A 4669-2023</t>
        </is>
      </c>
      <c r="B457" s="1" t="n">
        <v>44957</v>
      </c>
      <c r="C457" s="1" t="n">
        <v>46192</v>
      </c>
      <c r="D457" t="inlineStr">
        <is>
          <t>SÖDERMANLANDS LÄN</t>
        </is>
      </c>
      <c r="E457" t="inlineStr">
        <is>
          <t>KATRINEHOLM</t>
        </is>
      </c>
      <c r="F457" t="inlineStr">
        <is>
          <t>Holmen skog AB</t>
        </is>
      </c>
      <c r="G457" t="n">
        <v>2.2</v>
      </c>
      <c r="H457" t="n">
        <v>0</v>
      </c>
      <c r="I457" t="n">
        <v>0</v>
      </c>
      <c r="J457" t="n">
        <v>0</v>
      </c>
      <c r="K457" t="n">
        <v>0</v>
      </c>
      <c r="L457" t="n">
        <v>0</v>
      </c>
      <c r="M457" t="n">
        <v>0</v>
      </c>
      <c r="N457" t="n">
        <v>0</v>
      </c>
      <c r="O457" t="n">
        <v>0</v>
      </c>
      <c r="P457" t="n">
        <v>0</v>
      </c>
      <c r="Q457" t="n">
        <v>0</v>
      </c>
      <c r="R457" s="2" t="inlineStr"/>
    </row>
    <row r="458" ht="15" customHeight="1">
      <c r="A458" t="inlineStr">
        <is>
          <t>A 948-2023</t>
        </is>
      </c>
      <c r="B458" s="1" t="n">
        <v>44934</v>
      </c>
      <c r="C458" s="1" t="n">
        <v>46192</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6087-2022</t>
        </is>
      </c>
      <c r="B459" s="1" t="n">
        <v>44599</v>
      </c>
      <c r="C459" s="1" t="n">
        <v>46192</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47134-2022</t>
        </is>
      </c>
      <c r="B460" s="1" t="n">
        <v>44851</v>
      </c>
      <c r="C460" s="1" t="n">
        <v>46192</v>
      </c>
      <c r="D460" t="inlineStr">
        <is>
          <t>SÖDERMANLANDS LÄN</t>
        </is>
      </c>
      <c r="E460" t="inlineStr">
        <is>
          <t>KATRINEHOLM</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38883-2024</t>
        </is>
      </c>
      <c r="B461" s="1" t="n">
        <v>45547</v>
      </c>
      <c r="C461" s="1" t="n">
        <v>46192</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6796-2022</t>
        </is>
      </c>
      <c r="B462" s="1" t="n">
        <v>44602</v>
      </c>
      <c r="C462" s="1" t="n">
        <v>46192</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46192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42015-2022</t>
        </is>
      </c>
      <c r="B464" s="1" t="n">
        <v>44830</v>
      </c>
      <c r="C464" s="1" t="n">
        <v>46192</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42020-2022</t>
        </is>
      </c>
      <c r="B465" s="1" t="n">
        <v>44830</v>
      </c>
      <c r="C465" s="1" t="n">
        <v>46192</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12835-2024</t>
        </is>
      </c>
      <c r="B466" s="1" t="n">
        <v>45384</v>
      </c>
      <c r="C466" s="1" t="n">
        <v>46192</v>
      </c>
      <c r="D466" t="inlineStr">
        <is>
          <t>SÖDERMANLANDS LÄN</t>
        </is>
      </c>
      <c r="E466" t="inlineStr">
        <is>
          <t>KATRINEHOLM</t>
        </is>
      </c>
      <c r="F466" t="inlineStr">
        <is>
          <t>Allmännings- och besparingsskogar</t>
        </is>
      </c>
      <c r="G466" t="n">
        <v>0.5</v>
      </c>
      <c r="H466" t="n">
        <v>0</v>
      </c>
      <c r="I466" t="n">
        <v>0</v>
      </c>
      <c r="J466" t="n">
        <v>0</v>
      </c>
      <c r="K466" t="n">
        <v>0</v>
      </c>
      <c r="L466" t="n">
        <v>0</v>
      </c>
      <c r="M466" t="n">
        <v>0</v>
      </c>
      <c r="N466" t="n">
        <v>0</v>
      </c>
      <c r="O466" t="n">
        <v>0</v>
      </c>
      <c r="P466" t="n">
        <v>0</v>
      </c>
      <c r="Q466" t="n">
        <v>0</v>
      </c>
      <c r="R466" s="2" t="inlineStr"/>
    </row>
    <row r="467" ht="15" customHeight="1">
      <c r="A467" t="inlineStr">
        <is>
          <t>A 8394-2024</t>
        </is>
      </c>
      <c r="B467" s="1" t="n">
        <v>45352</v>
      </c>
      <c r="C467" s="1" t="n">
        <v>46192</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14239-2024</t>
        </is>
      </c>
      <c r="B468" s="1" t="n">
        <v>45393</v>
      </c>
      <c r="C468" s="1" t="n">
        <v>46192</v>
      </c>
      <c r="D468" t="inlineStr">
        <is>
          <t>SÖDERMANLANDS LÄN</t>
        </is>
      </c>
      <c r="E468" t="inlineStr">
        <is>
          <t>KATRINEHOLM</t>
        </is>
      </c>
      <c r="G468" t="n">
        <v>2.7</v>
      </c>
      <c r="H468" t="n">
        <v>0</v>
      </c>
      <c r="I468" t="n">
        <v>0</v>
      </c>
      <c r="J468" t="n">
        <v>0</v>
      </c>
      <c r="K468" t="n">
        <v>0</v>
      </c>
      <c r="L468" t="n">
        <v>0</v>
      </c>
      <c r="M468" t="n">
        <v>0</v>
      </c>
      <c r="N468" t="n">
        <v>0</v>
      </c>
      <c r="O468" t="n">
        <v>0</v>
      </c>
      <c r="P468" t="n">
        <v>0</v>
      </c>
      <c r="Q468" t="n">
        <v>0</v>
      </c>
      <c r="R468" s="2" t="inlineStr"/>
    </row>
    <row r="469" ht="15" customHeight="1">
      <c r="A469" t="inlineStr">
        <is>
          <t>A 14248-2024</t>
        </is>
      </c>
      <c r="B469" s="1" t="n">
        <v>45393</v>
      </c>
      <c r="C469" s="1" t="n">
        <v>46192</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25716-2022</t>
        </is>
      </c>
      <c r="B470" s="1" t="n">
        <v>44733</v>
      </c>
      <c r="C470" s="1" t="n">
        <v>46192</v>
      </c>
      <c r="D470" t="inlineStr">
        <is>
          <t>SÖDERMANLANDS LÄN</t>
        </is>
      </c>
      <c r="E470" t="inlineStr">
        <is>
          <t>KATRINEHOLM</t>
        </is>
      </c>
      <c r="G470" t="n">
        <v>3.4</v>
      </c>
      <c r="H470" t="n">
        <v>0</v>
      </c>
      <c r="I470" t="n">
        <v>0</v>
      </c>
      <c r="J470" t="n">
        <v>0</v>
      </c>
      <c r="K470" t="n">
        <v>0</v>
      </c>
      <c r="L470" t="n">
        <v>0</v>
      </c>
      <c r="M470" t="n">
        <v>0</v>
      </c>
      <c r="N470" t="n">
        <v>0</v>
      </c>
      <c r="O470" t="n">
        <v>0</v>
      </c>
      <c r="P470" t="n">
        <v>0</v>
      </c>
      <c r="Q470" t="n">
        <v>0</v>
      </c>
      <c r="R470" s="2" t="inlineStr"/>
    </row>
    <row r="471" ht="15" customHeight="1">
      <c r="A471" t="inlineStr">
        <is>
          <t>A 23842-2023</t>
        </is>
      </c>
      <c r="B471" s="1" t="n">
        <v>45075</v>
      </c>
      <c r="C471" s="1" t="n">
        <v>46192</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47879-2023</t>
        </is>
      </c>
      <c r="B472" s="1" t="n">
        <v>45204</v>
      </c>
      <c r="C472" s="1" t="n">
        <v>46192</v>
      </c>
      <c r="D472" t="inlineStr">
        <is>
          <t>SÖDERMANLANDS LÄN</t>
        </is>
      </c>
      <c r="E472" t="inlineStr">
        <is>
          <t>KATRINEHOLM</t>
        </is>
      </c>
      <c r="F472" t="inlineStr">
        <is>
          <t>Övriga Aktiebolag</t>
        </is>
      </c>
      <c r="G472" t="n">
        <v>2.3</v>
      </c>
      <c r="H472" t="n">
        <v>0</v>
      </c>
      <c r="I472" t="n">
        <v>0</v>
      </c>
      <c r="J472" t="n">
        <v>0</v>
      </c>
      <c r="K472" t="n">
        <v>0</v>
      </c>
      <c r="L472" t="n">
        <v>0</v>
      </c>
      <c r="M472" t="n">
        <v>0</v>
      </c>
      <c r="N472" t="n">
        <v>0</v>
      </c>
      <c r="O472" t="n">
        <v>0</v>
      </c>
      <c r="P472" t="n">
        <v>0</v>
      </c>
      <c r="Q472" t="n">
        <v>0</v>
      </c>
      <c r="R472" s="2" t="inlineStr"/>
    </row>
    <row r="473" ht="15" customHeight="1">
      <c r="A473" t="inlineStr">
        <is>
          <t>A 61410-2024</t>
        </is>
      </c>
      <c r="B473" s="1" t="n">
        <v>45646</v>
      </c>
      <c r="C473" s="1" t="n">
        <v>46192</v>
      </c>
      <c r="D473" t="inlineStr">
        <is>
          <t>SÖDERMANLANDS LÄN</t>
        </is>
      </c>
      <c r="E473" t="inlineStr">
        <is>
          <t>KATRINEHOLM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4889-2026</t>
        </is>
      </c>
      <c r="B474" s="1" t="n">
        <v>46048</v>
      </c>
      <c r="C474" s="1" t="n">
        <v>46192</v>
      </c>
      <c r="D474" t="inlineStr">
        <is>
          <t>SÖDERMANLANDS LÄN</t>
        </is>
      </c>
      <c r="E474" t="inlineStr">
        <is>
          <t>KATRINEHOLM</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5703-2026</t>
        </is>
      </c>
      <c r="B475" s="1" t="n">
        <v>46051</v>
      </c>
      <c r="C475" s="1" t="n">
        <v>46192</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17746-2024</t>
        </is>
      </c>
      <c r="B476" s="1" t="n">
        <v>45415</v>
      </c>
      <c r="C476" s="1" t="n">
        <v>46192</v>
      </c>
      <c r="D476" t="inlineStr">
        <is>
          <t>SÖDERMANLANDS LÄN</t>
        </is>
      </c>
      <c r="E476" t="inlineStr">
        <is>
          <t>KATRINEHOLM</t>
        </is>
      </c>
      <c r="G476" t="n">
        <v>7.8</v>
      </c>
      <c r="H476" t="n">
        <v>0</v>
      </c>
      <c r="I476" t="n">
        <v>0</v>
      </c>
      <c r="J476" t="n">
        <v>0</v>
      </c>
      <c r="K476" t="n">
        <v>0</v>
      </c>
      <c r="L476" t="n">
        <v>0</v>
      </c>
      <c r="M476" t="n">
        <v>0</v>
      </c>
      <c r="N476" t="n">
        <v>0</v>
      </c>
      <c r="O476" t="n">
        <v>0</v>
      </c>
      <c r="P476" t="n">
        <v>0</v>
      </c>
      <c r="Q476" t="n">
        <v>0</v>
      </c>
      <c r="R476" s="2" t="inlineStr"/>
    </row>
    <row r="477" ht="15" customHeight="1">
      <c r="A477" t="inlineStr">
        <is>
          <t>A 57510-2021</t>
        </is>
      </c>
      <c r="B477" s="1" t="n">
        <v>44483</v>
      </c>
      <c r="C477" s="1" t="n">
        <v>46192</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50032-2022</t>
        </is>
      </c>
      <c r="B478" s="1" t="n">
        <v>44860</v>
      </c>
      <c r="C478" s="1" t="n">
        <v>46192</v>
      </c>
      <c r="D478" t="inlineStr">
        <is>
          <t>SÖDERMANLANDS LÄN</t>
        </is>
      </c>
      <c r="E478" t="inlineStr">
        <is>
          <t>KATRINEHOLM</t>
        </is>
      </c>
      <c r="G478" t="n">
        <v>7.5</v>
      </c>
      <c r="H478" t="n">
        <v>0</v>
      </c>
      <c r="I478" t="n">
        <v>0</v>
      </c>
      <c r="J478" t="n">
        <v>0</v>
      </c>
      <c r="K478" t="n">
        <v>0</v>
      </c>
      <c r="L478" t="n">
        <v>0</v>
      </c>
      <c r="M478" t="n">
        <v>0</v>
      </c>
      <c r="N478" t="n">
        <v>0</v>
      </c>
      <c r="O478" t="n">
        <v>0</v>
      </c>
      <c r="P478" t="n">
        <v>0</v>
      </c>
      <c r="Q478" t="n">
        <v>0</v>
      </c>
      <c r="R478" s="2" t="inlineStr"/>
    </row>
    <row r="479" ht="15" customHeight="1">
      <c r="A479" t="inlineStr">
        <is>
          <t>A 34731-2023</t>
        </is>
      </c>
      <c r="B479" s="1" t="n">
        <v>45141</v>
      </c>
      <c r="C479" s="1" t="n">
        <v>46192</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50804-2023</t>
        </is>
      </c>
      <c r="B480" s="1" t="n">
        <v>45211</v>
      </c>
      <c r="C480" s="1" t="n">
        <v>46192</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29502-2023</t>
        </is>
      </c>
      <c r="B481" s="1" t="n">
        <v>45106</v>
      </c>
      <c r="C481" s="1" t="n">
        <v>46192</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56074-2022</t>
        </is>
      </c>
      <c r="B482" s="1" t="n">
        <v>44889</v>
      </c>
      <c r="C482" s="1" t="n">
        <v>46192</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c r="T482">
        <f>HYPERLINK("https://klasma.github.io/Logging_0483/kartor/A 56074-2022 karta.png", "A 56074-2022")</f>
        <v/>
      </c>
      <c r="V482">
        <f>HYPERLINK("https://klasma.github.io/Logging_0483/klagomål/A 56074-2022 FSC-klagomål.docx", "A 56074-2022")</f>
        <v/>
      </c>
      <c r="W482">
        <f>HYPERLINK("https://klasma.github.io/Logging_0483/klagomålsmail/A 56074-2022 FSC-klagomål mail.docx", "A 56074-2022")</f>
        <v/>
      </c>
      <c r="X482">
        <f>HYPERLINK("https://klasma.github.io/Logging_0483/tillsyn/A 56074-2022 tillsynsbegäran.docx", "A 56074-2022")</f>
        <v/>
      </c>
      <c r="Y482">
        <f>HYPERLINK("https://klasma.github.io/Logging_0483/tillsynsmail/A 56074-2022 tillsynsbegäran mail.docx", "A 56074-2022")</f>
        <v/>
      </c>
    </row>
    <row r="483" ht="15" customHeight="1">
      <c r="A483" t="inlineStr">
        <is>
          <t>A 38826-2021</t>
        </is>
      </c>
      <c r="B483" s="1" t="n">
        <v>44411</v>
      </c>
      <c r="C483" s="1" t="n">
        <v>46192</v>
      </c>
      <c r="D483" t="inlineStr">
        <is>
          <t>SÖDERMANLANDS LÄN</t>
        </is>
      </c>
      <c r="E483" t="inlineStr">
        <is>
          <t>KATRINEHOLM</t>
        </is>
      </c>
      <c r="G483" t="n">
        <v>3.1</v>
      </c>
      <c r="H483" t="n">
        <v>0</v>
      </c>
      <c r="I483" t="n">
        <v>0</v>
      </c>
      <c r="J483" t="n">
        <v>0</v>
      </c>
      <c r="K483" t="n">
        <v>0</v>
      </c>
      <c r="L483" t="n">
        <v>0</v>
      </c>
      <c r="M483" t="n">
        <v>0</v>
      </c>
      <c r="N483" t="n">
        <v>0</v>
      </c>
      <c r="O483" t="n">
        <v>0</v>
      </c>
      <c r="P483" t="n">
        <v>0</v>
      </c>
      <c r="Q483" t="n">
        <v>0</v>
      </c>
      <c r="R483" s="2" t="inlineStr"/>
    </row>
    <row r="484" ht="15" customHeight="1">
      <c r="A484" t="inlineStr">
        <is>
          <t>A 51128-2021</t>
        </is>
      </c>
      <c r="B484" s="1" t="n">
        <v>44460</v>
      </c>
      <c r="C484" s="1" t="n">
        <v>46192</v>
      </c>
      <c r="D484" t="inlineStr">
        <is>
          <t>SÖDERMANLANDS LÄN</t>
        </is>
      </c>
      <c r="E484" t="inlineStr">
        <is>
          <t>KATRINEHOLM</t>
        </is>
      </c>
      <c r="G484" t="n">
        <v>7.8</v>
      </c>
      <c r="H484" t="n">
        <v>0</v>
      </c>
      <c r="I484" t="n">
        <v>0</v>
      </c>
      <c r="J484" t="n">
        <v>0</v>
      </c>
      <c r="K484" t="n">
        <v>0</v>
      </c>
      <c r="L484" t="n">
        <v>0</v>
      </c>
      <c r="M484" t="n">
        <v>0</v>
      </c>
      <c r="N484" t="n">
        <v>0</v>
      </c>
      <c r="O484" t="n">
        <v>0</v>
      </c>
      <c r="P484" t="n">
        <v>0</v>
      </c>
      <c r="Q484" t="n">
        <v>0</v>
      </c>
      <c r="R484" s="2" t="inlineStr"/>
    </row>
    <row r="485" ht="15" customHeight="1">
      <c r="A485" t="inlineStr">
        <is>
          <t>A 51264-2021</t>
        </is>
      </c>
      <c r="B485" s="1" t="n">
        <v>44461</v>
      </c>
      <c r="C485" s="1" t="n">
        <v>46192</v>
      </c>
      <c r="D485" t="inlineStr">
        <is>
          <t>SÖDERMANLANDS LÄN</t>
        </is>
      </c>
      <c r="E485" t="inlineStr">
        <is>
          <t>KATRINEHOLM</t>
        </is>
      </c>
      <c r="G485" t="n">
        <v>3.1</v>
      </c>
      <c r="H485" t="n">
        <v>0</v>
      </c>
      <c r="I485" t="n">
        <v>0</v>
      </c>
      <c r="J485" t="n">
        <v>0</v>
      </c>
      <c r="K485" t="n">
        <v>0</v>
      </c>
      <c r="L485" t="n">
        <v>0</v>
      </c>
      <c r="M485" t="n">
        <v>0</v>
      </c>
      <c r="N485" t="n">
        <v>0</v>
      </c>
      <c r="O485" t="n">
        <v>0</v>
      </c>
      <c r="P485" t="n">
        <v>0</v>
      </c>
      <c r="Q485" t="n">
        <v>0</v>
      </c>
      <c r="R485" s="2" t="inlineStr"/>
    </row>
    <row r="486" ht="15" customHeight="1">
      <c r="A486" t="inlineStr">
        <is>
          <t>A 8922-2024</t>
        </is>
      </c>
      <c r="B486" s="1" t="n">
        <v>45357</v>
      </c>
      <c r="C486" s="1" t="n">
        <v>46192</v>
      </c>
      <c r="D486" t="inlineStr">
        <is>
          <t>SÖDERMANLANDS LÄN</t>
        </is>
      </c>
      <c r="E486" t="inlineStr">
        <is>
          <t>KATRINEHOLM</t>
        </is>
      </c>
      <c r="G486" t="n">
        <v>2.2</v>
      </c>
      <c r="H486" t="n">
        <v>0</v>
      </c>
      <c r="I486" t="n">
        <v>0</v>
      </c>
      <c r="J486" t="n">
        <v>0</v>
      </c>
      <c r="K486" t="n">
        <v>0</v>
      </c>
      <c r="L486" t="n">
        <v>0</v>
      </c>
      <c r="M486" t="n">
        <v>0</v>
      </c>
      <c r="N486" t="n">
        <v>0</v>
      </c>
      <c r="O486" t="n">
        <v>0</v>
      </c>
      <c r="P486" t="n">
        <v>0</v>
      </c>
      <c r="Q486" t="n">
        <v>0</v>
      </c>
      <c r="R486" s="2" t="inlineStr"/>
    </row>
    <row r="487" ht="15" customHeight="1">
      <c r="A487" t="inlineStr">
        <is>
          <t>A 23207-2023</t>
        </is>
      </c>
      <c r="B487" s="1" t="n">
        <v>45071</v>
      </c>
      <c r="C487" s="1" t="n">
        <v>46192</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5935-2023</t>
        </is>
      </c>
      <c r="B488" s="1" t="n">
        <v>44963</v>
      </c>
      <c r="C488" s="1" t="n">
        <v>46192</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45376-2022</t>
        </is>
      </c>
      <c r="B489" s="1" t="n">
        <v>44844</v>
      </c>
      <c r="C489" s="1" t="n">
        <v>46192</v>
      </c>
      <c r="D489" t="inlineStr">
        <is>
          <t>SÖDERMANLANDS LÄN</t>
        </is>
      </c>
      <c r="E489" t="inlineStr">
        <is>
          <t>KATRINEHOLM</t>
        </is>
      </c>
      <c r="G489" t="n">
        <v>4.7</v>
      </c>
      <c r="H489" t="n">
        <v>0</v>
      </c>
      <c r="I489" t="n">
        <v>0</v>
      </c>
      <c r="J489" t="n">
        <v>0</v>
      </c>
      <c r="K489" t="n">
        <v>0</v>
      </c>
      <c r="L489" t="n">
        <v>0</v>
      </c>
      <c r="M489" t="n">
        <v>0</v>
      </c>
      <c r="N489" t="n">
        <v>0</v>
      </c>
      <c r="O489" t="n">
        <v>0</v>
      </c>
      <c r="P489" t="n">
        <v>0</v>
      </c>
      <c r="Q489" t="n">
        <v>0</v>
      </c>
      <c r="R489" s="2" t="inlineStr"/>
    </row>
    <row r="490" ht="15" customHeight="1">
      <c r="A490" t="inlineStr">
        <is>
          <t>A 11104-2023</t>
        </is>
      </c>
      <c r="B490" s="1" t="n">
        <v>44992</v>
      </c>
      <c r="C490" s="1" t="n">
        <v>46192</v>
      </c>
      <c r="D490" t="inlineStr">
        <is>
          <t>SÖDERMANLANDS LÄN</t>
        </is>
      </c>
      <c r="E490" t="inlineStr">
        <is>
          <t>KATRINEHOLM</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39748-2022</t>
        </is>
      </c>
      <c r="B491" s="1" t="n">
        <v>44817</v>
      </c>
      <c r="C491" s="1" t="n">
        <v>46192</v>
      </c>
      <c r="D491" t="inlineStr">
        <is>
          <t>SÖDERMANLANDS LÄN</t>
        </is>
      </c>
      <c r="E491" t="inlineStr">
        <is>
          <t>KATRINEHOLM</t>
        </is>
      </c>
      <c r="G491" t="n">
        <v>10.2</v>
      </c>
      <c r="H491" t="n">
        <v>0</v>
      </c>
      <c r="I491" t="n">
        <v>0</v>
      </c>
      <c r="J491" t="n">
        <v>0</v>
      </c>
      <c r="K491" t="n">
        <v>0</v>
      </c>
      <c r="L491" t="n">
        <v>0</v>
      </c>
      <c r="M491" t="n">
        <v>0</v>
      </c>
      <c r="N491" t="n">
        <v>0</v>
      </c>
      <c r="O491" t="n">
        <v>0</v>
      </c>
      <c r="P491" t="n">
        <v>0</v>
      </c>
      <c r="Q491" t="n">
        <v>0</v>
      </c>
      <c r="R491" s="2" t="inlineStr"/>
    </row>
    <row r="492" ht="15" customHeight="1">
      <c r="A492" t="inlineStr">
        <is>
          <t>A 40159-2023</t>
        </is>
      </c>
      <c r="B492" s="1" t="n">
        <v>45169</v>
      </c>
      <c r="C492" s="1" t="n">
        <v>46192</v>
      </c>
      <c r="D492" t="inlineStr">
        <is>
          <t>SÖDERMANLANDS LÄN</t>
        </is>
      </c>
      <c r="E492" t="inlineStr">
        <is>
          <t>KATRINEHOLM</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36562-2023</t>
        </is>
      </c>
      <c r="B493" s="1" t="n">
        <v>45153</v>
      </c>
      <c r="C493" s="1" t="n">
        <v>46192</v>
      </c>
      <c r="D493" t="inlineStr">
        <is>
          <t>SÖDERMANLANDS LÄN</t>
        </is>
      </c>
      <c r="E493" t="inlineStr">
        <is>
          <t>KATRINEHOLM</t>
        </is>
      </c>
      <c r="G493" t="n">
        <v>5.8</v>
      </c>
      <c r="H493" t="n">
        <v>0</v>
      </c>
      <c r="I493" t="n">
        <v>0</v>
      </c>
      <c r="J493" t="n">
        <v>0</v>
      </c>
      <c r="K493" t="n">
        <v>0</v>
      </c>
      <c r="L493" t="n">
        <v>0</v>
      </c>
      <c r="M493" t="n">
        <v>0</v>
      </c>
      <c r="N493" t="n">
        <v>0</v>
      </c>
      <c r="O493" t="n">
        <v>0</v>
      </c>
      <c r="P493" t="n">
        <v>0</v>
      </c>
      <c r="Q493" t="n">
        <v>0</v>
      </c>
      <c r="R493" s="2" t="inlineStr"/>
    </row>
    <row r="494" ht="15" customHeight="1">
      <c r="A494" t="inlineStr">
        <is>
          <t>A 4872-2024</t>
        </is>
      </c>
      <c r="B494" s="1" t="n">
        <v>45329</v>
      </c>
      <c r="C494" s="1" t="n">
        <v>46192</v>
      </c>
      <c r="D494" t="inlineStr">
        <is>
          <t>SÖDERMANLANDS LÄN</t>
        </is>
      </c>
      <c r="E494" t="inlineStr">
        <is>
          <t>KATRINEHOLM</t>
        </is>
      </c>
      <c r="G494" t="n">
        <v>0.5</v>
      </c>
      <c r="H494" t="n">
        <v>0</v>
      </c>
      <c r="I494" t="n">
        <v>0</v>
      </c>
      <c r="J494" t="n">
        <v>0</v>
      </c>
      <c r="K494" t="n">
        <v>0</v>
      </c>
      <c r="L494" t="n">
        <v>0</v>
      </c>
      <c r="M494" t="n">
        <v>0</v>
      </c>
      <c r="N494" t="n">
        <v>0</v>
      </c>
      <c r="O494" t="n">
        <v>0</v>
      </c>
      <c r="P494" t="n">
        <v>0</v>
      </c>
      <c r="Q494" t="n">
        <v>0</v>
      </c>
      <c r="R494" s="2" t="inlineStr"/>
    </row>
    <row r="495" ht="15" customHeight="1">
      <c r="A495" t="inlineStr">
        <is>
          <t>A 6611-2023</t>
        </is>
      </c>
      <c r="B495" s="1" t="n">
        <v>44963</v>
      </c>
      <c r="C495" s="1" t="n">
        <v>46192</v>
      </c>
      <c r="D495" t="inlineStr">
        <is>
          <t>SÖDERMANLANDS LÄN</t>
        </is>
      </c>
      <c r="E495" t="inlineStr">
        <is>
          <t>KATRINEHOLM</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25823-2023</t>
        </is>
      </c>
      <c r="B496" s="1" t="n">
        <v>45090</v>
      </c>
      <c r="C496" s="1" t="n">
        <v>46192</v>
      </c>
      <c r="D496" t="inlineStr">
        <is>
          <t>SÖDERMANLANDS LÄN</t>
        </is>
      </c>
      <c r="E496" t="inlineStr">
        <is>
          <t>KATRINEHOLM</t>
        </is>
      </c>
      <c r="F496" t="inlineStr">
        <is>
          <t>Kyrkan</t>
        </is>
      </c>
      <c r="G496" t="n">
        <v>10.2</v>
      </c>
      <c r="H496" t="n">
        <v>0</v>
      </c>
      <c r="I496" t="n">
        <v>0</v>
      </c>
      <c r="J496" t="n">
        <v>0</v>
      </c>
      <c r="K496" t="n">
        <v>0</v>
      </c>
      <c r="L496" t="n">
        <v>0</v>
      </c>
      <c r="M496" t="n">
        <v>0</v>
      </c>
      <c r="N496" t="n">
        <v>0</v>
      </c>
      <c r="O496" t="n">
        <v>0</v>
      </c>
      <c r="P496" t="n">
        <v>0</v>
      </c>
      <c r="Q496" t="n">
        <v>0</v>
      </c>
      <c r="R496" s="2" t="inlineStr"/>
    </row>
    <row r="497" ht="15" customHeight="1">
      <c r="A497" t="inlineStr">
        <is>
          <t>A 61398-2024</t>
        </is>
      </c>
      <c r="B497" s="1" t="n">
        <v>45646</v>
      </c>
      <c r="C497" s="1" t="n">
        <v>46192</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20480-2022</t>
        </is>
      </c>
      <c r="B498" s="1" t="n">
        <v>44699</v>
      </c>
      <c r="C498" s="1" t="n">
        <v>46192</v>
      </c>
      <c r="D498" t="inlineStr">
        <is>
          <t>SÖDERMANLANDS LÄN</t>
        </is>
      </c>
      <c r="E498" t="inlineStr">
        <is>
          <t>KATRINEHOLM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3060-2022</t>
        </is>
      </c>
      <c r="B499" s="1" t="n">
        <v>44582</v>
      </c>
      <c r="C499" s="1" t="n">
        <v>46192</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3075-2022</t>
        </is>
      </c>
      <c r="B500" s="1" t="n">
        <v>44582</v>
      </c>
      <c r="C500" s="1" t="n">
        <v>46192</v>
      </c>
      <c r="D500" t="inlineStr">
        <is>
          <t>SÖDERMANLANDS LÄN</t>
        </is>
      </c>
      <c r="E500" t="inlineStr">
        <is>
          <t>KATRINEHOLM</t>
        </is>
      </c>
      <c r="G500" t="n">
        <v>3.5</v>
      </c>
      <c r="H500" t="n">
        <v>0</v>
      </c>
      <c r="I500" t="n">
        <v>0</v>
      </c>
      <c r="J500" t="n">
        <v>0</v>
      </c>
      <c r="K500" t="n">
        <v>0</v>
      </c>
      <c r="L500" t="n">
        <v>0</v>
      </c>
      <c r="M500" t="n">
        <v>0</v>
      </c>
      <c r="N500" t="n">
        <v>0</v>
      </c>
      <c r="O500" t="n">
        <v>0</v>
      </c>
      <c r="P500" t="n">
        <v>0</v>
      </c>
      <c r="Q500" t="n">
        <v>0</v>
      </c>
      <c r="R500" s="2" t="inlineStr"/>
    </row>
    <row r="501" ht="15" customHeight="1">
      <c r="A501" t="inlineStr">
        <is>
          <t>A 34981-2023</t>
        </is>
      </c>
      <c r="B501" s="1" t="n">
        <v>45142</v>
      </c>
      <c r="C501" s="1" t="n">
        <v>46192</v>
      </c>
      <c r="D501" t="inlineStr">
        <is>
          <t>SÖDERMANLANDS LÄN</t>
        </is>
      </c>
      <c r="E501" t="inlineStr">
        <is>
          <t>KATRINEHOLM</t>
        </is>
      </c>
      <c r="G501" t="n">
        <v>10</v>
      </c>
      <c r="H501" t="n">
        <v>0</v>
      </c>
      <c r="I501" t="n">
        <v>0</v>
      </c>
      <c r="J501" t="n">
        <v>0</v>
      </c>
      <c r="K501" t="n">
        <v>0</v>
      </c>
      <c r="L501" t="n">
        <v>0</v>
      </c>
      <c r="M501" t="n">
        <v>0</v>
      </c>
      <c r="N501" t="n">
        <v>0</v>
      </c>
      <c r="O501" t="n">
        <v>0</v>
      </c>
      <c r="P501" t="n">
        <v>0</v>
      </c>
      <c r="Q501" t="n">
        <v>0</v>
      </c>
      <c r="R501" s="2" t="inlineStr"/>
    </row>
    <row r="502" ht="15" customHeight="1">
      <c r="A502" t="inlineStr">
        <is>
          <t>A 7513-2026</t>
        </is>
      </c>
      <c r="B502" s="1" t="n">
        <v>46059</v>
      </c>
      <c r="C502" s="1" t="n">
        <v>46192</v>
      </c>
      <c r="D502" t="inlineStr">
        <is>
          <t>SÖDERMANLANDS LÄN</t>
        </is>
      </c>
      <c r="E502" t="inlineStr">
        <is>
          <t>KATRINEHOLM</t>
        </is>
      </c>
      <c r="F502" t="inlineStr">
        <is>
          <t>Övriga Aktiebolag</t>
        </is>
      </c>
      <c r="G502" t="n">
        <v>5</v>
      </c>
      <c r="H502" t="n">
        <v>0</v>
      </c>
      <c r="I502" t="n">
        <v>0</v>
      </c>
      <c r="J502" t="n">
        <v>0</v>
      </c>
      <c r="K502" t="n">
        <v>0</v>
      </c>
      <c r="L502" t="n">
        <v>0</v>
      </c>
      <c r="M502" t="n">
        <v>0</v>
      </c>
      <c r="N502" t="n">
        <v>0</v>
      </c>
      <c r="O502" t="n">
        <v>0</v>
      </c>
      <c r="P502" t="n">
        <v>0</v>
      </c>
      <c r="Q502" t="n">
        <v>0</v>
      </c>
      <c r="R502" s="2" t="inlineStr"/>
    </row>
    <row r="503" ht="15" customHeight="1">
      <c r="A503" t="inlineStr">
        <is>
          <t>A 31740-2022</t>
        </is>
      </c>
      <c r="B503" s="1" t="n">
        <v>44776</v>
      </c>
      <c r="C503" s="1" t="n">
        <v>46192</v>
      </c>
      <c r="D503" t="inlineStr">
        <is>
          <t>SÖDERMANLANDS LÄN</t>
        </is>
      </c>
      <c r="E503" t="inlineStr">
        <is>
          <t>KATRINEHOLM</t>
        </is>
      </c>
      <c r="G503" t="n">
        <v>1.1</v>
      </c>
      <c r="H503" t="n">
        <v>0</v>
      </c>
      <c r="I503" t="n">
        <v>0</v>
      </c>
      <c r="J503" t="n">
        <v>0</v>
      </c>
      <c r="K503" t="n">
        <v>0</v>
      </c>
      <c r="L503" t="n">
        <v>0</v>
      </c>
      <c r="M503" t="n">
        <v>0</v>
      </c>
      <c r="N503" t="n">
        <v>0</v>
      </c>
      <c r="O503" t="n">
        <v>0</v>
      </c>
      <c r="P503" t="n">
        <v>0</v>
      </c>
      <c r="Q503" t="n">
        <v>0</v>
      </c>
      <c r="R503" s="2" t="inlineStr"/>
    </row>
    <row r="504" ht="15" customHeight="1">
      <c r="A504" t="inlineStr">
        <is>
          <t>A 13175-2024</t>
        </is>
      </c>
      <c r="B504" s="1" t="n">
        <v>45386</v>
      </c>
      <c r="C504" s="1" t="n">
        <v>46192</v>
      </c>
      <c r="D504" t="inlineStr">
        <is>
          <t>SÖDERMANLANDS LÄN</t>
        </is>
      </c>
      <c r="E504" t="inlineStr">
        <is>
          <t>KATRINEHOLM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26081-2024</t>
        </is>
      </c>
      <c r="B505" s="1" t="n">
        <v>45462</v>
      </c>
      <c r="C505" s="1" t="n">
        <v>46192</v>
      </c>
      <c r="D505" t="inlineStr">
        <is>
          <t>SÖDERMANLANDS LÄN</t>
        </is>
      </c>
      <c r="E505" t="inlineStr">
        <is>
          <t>KATRINEHOLM</t>
        </is>
      </c>
      <c r="G505" t="n">
        <v>4.1</v>
      </c>
      <c r="H505" t="n">
        <v>0</v>
      </c>
      <c r="I505" t="n">
        <v>0</v>
      </c>
      <c r="J505" t="n">
        <v>0</v>
      </c>
      <c r="K505" t="n">
        <v>0</v>
      </c>
      <c r="L505" t="n">
        <v>0</v>
      </c>
      <c r="M505" t="n">
        <v>0</v>
      </c>
      <c r="N505" t="n">
        <v>0</v>
      </c>
      <c r="O505" t="n">
        <v>0</v>
      </c>
      <c r="P505" t="n">
        <v>0</v>
      </c>
      <c r="Q505" t="n">
        <v>0</v>
      </c>
      <c r="R505" s="2" t="inlineStr"/>
    </row>
    <row r="506" ht="15" customHeight="1">
      <c r="A506" t="inlineStr">
        <is>
          <t>A 3125-2024</t>
        </is>
      </c>
      <c r="B506" s="1" t="n">
        <v>45316</v>
      </c>
      <c r="C506" s="1" t="n">
        <v>46192</v>
      </c>
      <c r="D506" t="inlineStr">
        <is>
          <t>SÖDERMANLANDS LÄN</t>
        </is>
      </c>
      <c r="E506" t="inlineStr">
        <is>
          <t>KATRINEHOLM</t>
        </is>
      </c>
      <c r="G506" t="n">
        <v>3.4</v>
      </c>
      <c r="H506" t="n">
        <v>0</v>
      </c>
      <c r="I506" t="n">
        <v>0</v>
      </c>
      <c r="J506" t="n">
        <v>0</v>
      </c>
      <c r="K506" t="n">
        <v>0</v>
      </c>
      <c r="L506" t="n">
        <v>0</v>
      </c>
      <c r="M506" t="n">
        <v>0</v>
      </c>
      <c r="N506" t="n">
        <v>0</v>
      </c>
      <c r="O506" t="n">
        <v>0</v>
      </c>
      <c r="P506" t="n">
        <v>0</v>
      </c>
      <c r="Q506" t="n">
        <v>0</v>
      </c>
      <c r="R506" s="2" t="inlineStr"/>
    </row>
    <row r="507" ht="15" customHeight="1">
      <c r="A507" t="inlineStr">
        <is>
          <t>A 4667-2024</t>
        </is>
      </c>
      <c r="B507" s="1" t="n">
        <v>45328</v>
      </c>
      <c r="C507" s="1" t="n">
        <v>46192</v>
      </c>
      <c r="D507" t="inlineStr">
        <is>
          <t>SÖDERMANLANDS LÄN</t>
        </is>
      </c>
      <c r="E507" t="inlineStr">
        <is>
          <t>KATRINEHOLM</t>
        </is>
      </c>
      <c r="F507" t="inlineStr">
        <is>
          <t>Övriga Aktiebolag</t>
        </is>
      </c>
      <c r="G507" t="n">
        <v>10.2</v>
      </c>
      <c r="H507" t="n">
        <v>0</v>
      </c>
      <c r="I507" t="n">
        <v>0</v>
      </c>
      <c r="J507" t="n">
        <v>0</v>
      </c>
      <c r="K507" t="n">
        <v>0</v>
      </c>
      <c r="L507" t="n">
        <v>0</v>
      </c>
      <c r="M507" t="n">
        <v>0</v>
      </c>
      <c r="N507" t="n">
        <v>0</v>
      </c>
      <c r="O507" t="n">
        <v>0</v>
      </c>
      <c r="P507" t="n">
        <v>0</v>
      </c>
      <c r="Q507" t="n">
        <v>0</v>
      </c>
      <c r="R507" s="2" t="inlineStr"/>
    </row>
    <row r="508" ht="15" customHeight="1">
      <c r="A508" t="inlineStr">
        <is>
          <t>A 8087-2022</t>
        </is>
      </c>
      <c r="B508" s="1" t="n">
        <v>44609</v>
      </c>
      <c r="C508" s="1" t="n">
        <v>46192</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19107-2022</t>
        </is>
      </c>
      <c r="B509" s="1" t="n">
        <v>44691</v>
      </c>
      <c r="C509" s="1" t="n">
        <v>46192</v>
      </c>
      <c r="D509" t="inlineStr">
        <is>
          <t>SÖDERMANLANDS LÄN</t>
        </is>
      </c>
      <c r="E509" t="inlineStr">
        <is>
          <t>KATRINEHOLM</t>
        </is>
      </c>
      <c r="G509" t="n">
        <v>1</v>
      </c>
      <c r="H509" t="n">
        <v>0</v>
      </c>
      <c r="I509" t="n">
        <v>0</v>
      </c>
      <c r="J509" t="n">
        <v>0</v>
      </c>
      <c r="K509" t="n">
        <v>0</v>
      </c>
      <c r="L509" t="n">
        <v>0</v>
      </c>
      <c r="M509" t="n">
        <v>0</v>
      </c>
      <c r="N509" t="n">
        <v>0</v>
      </c>
      <c r="O509" t="n">
        <v>0</v>
      </c>
      <c r="P509" t="n">
        <v>0</v>
      </c>
      <c r="Q509" t="n">
        <v>0</v>
      </c>
      <c r="R509" s="2" t="inlineStr"/>
    </row>
    <row r="510" ht="15" customHeight="1">
      <c r="A510" t="inlineStr">
        <is>
          <t>A 27852-2023</t>
        </is>
      </c>
      <c r="B510" s="1" t="n">
        <v>45098</v>
      </c>
      <c r="C510" s="1" t="n">
        <v>46192</v>
      </c>
      <c r="D510" t="inlineStr">
        <is>
          <t>SÖDERMANLANDS LÄN</t>
        </is>
      </c>
      <c r="E510" t="inlineStr">
        <is>
          <t>KATRINEHOLM</t>
        </is>
      </c>
      <c r="G510" t="n">
        <v>7.4</v>
      </c>
      <c r="H510" t="n">
        <v>0</v>
      </c>
      <c r="I510" t="n">
        <v>0</v>
      </c>
      <c r="J510" t="n">
        <v>0</v>
      </c>
      <c r="K510" t="n">
        <v>0</v>
      </c>
      <c r="L510" t="n">
        <v>0</v>
      </c>
      <c r="M510" t="n">
        <v>0</v>
      </c>
      <c r="N510" t="n">
        <v>0</v>
      </c>
      <c r="O510" t="n">
        <v>0</v>
      </c>
      <c r="P510" t="n">
        <v>0</v>
      </c>
      <c r="Q510" t="n">
        <v>0</v>
      </c>
      <c r="R510" s="2" t="inlineStr"/>
    </row>
    <row r="511" ht="15" customHeight="1">
      <c r="A511" t="inlineStr">
        <is>
          <t>A 1143-2024</t>
        </is>
      </c>
      <c r="B511" s="1" t="n">
        <v>45302</v>
      </c>
      <c r="C511" s="1" t="n">
        <v>46192</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19442-2023</t>
        </is>
      </c>
      <c r="B512" s="1" t="n">
        <v>45050</v>
      </c>
      <c r="C512" s="1" t="n">
        <v>46192</v>
      </c>
      <c r="D512" t="inlineStr">
        <is>
          <t>SÖDERMANLANDS LÄN</t>
        </is>
      </c>
      <c r="E512" t="inlineStr">
        <is>
          <t>KATRINEHOLM</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59093-2024</t>
        </is>
      </c>
      <c r="B513" s="1" t="n">
        <v>45636</v>
      </c>
      <c r="C513" s="1" t="n">
        <v>46192</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2606-2025</t>
        </is>
      </c>
      <c r="B514" s="1" t="n">
        <v>45674</v>
      </c>
      <c r="C514" s="1" t="n">
        <v>46192</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48763-2024</t>
        </is>
      </c>
      <c r="B515" s="1" t="n">
        <v>45593</v>
      </c>
      <c r="C515" s="1" t="n">
        <v>46192</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17335-2023</t>
        </is>
      </c>
      <c r="B516" s="1" t="n">
        <v>45033</v>
      </c>
      <c r="C516" s="1" t="n">
        <v>46192</v>
      </c>
      <c r="D516" t="inlineStr">
        <is>
          <t>SÖDERMANLANDS LÄN</t>
        </is>
      </c>
      <c r="E516" t="inlineStr">
        <is>
          <t>KATRINEHOLM</t>
        </is>
      </c>
      <c r="G516" t="n">
        <v>3.3</v>
      </c>
      <c r="H516" t="n">
        <v>0</v>
      </c>
      <c r="I516" t="n">
        <v>0</v>
      </c>
      <c r="J516" t="n">
        <v>0</v>
      </c>
      <c r="K516" t="n">
        <v>0</v>
      </c>
      <c r="L516" t="n">
        <v>0</v>
      </c>
      <c r="M516" t="n">
        <v>0</v>
      </c>
      <c r="N516" t="n">
        <v>0</v>
      </c>
      <c r="O516" t="n">
        <v>0</v>
      </c>
      <c r="P516" t="n">
        <v>0</v>
      </c>
      <c r="Q516" t="n">
        <v>0</v>
      </c>
      <c r="R516" s="2" t="inlineStr"/>
    </row>
    <row r="517" ht="15" customHeight="1">
      <c r="A517" t="inlineStr">
        <is>
          <t>A 41229-2022</t>
        </is>
      </c>
      <c r="B517" s="1" t="n">
        <v>44825</v>
      </c>
      <c r="C517" s="1" t="n">
        <v>46192</v>
      </c>
      <c r="D517" t="inlineStr">
        <is>
          <t>SÖDERMANLANDS LÄN</t>
        </is>
      </c>
      <c r="E517" t="inlineStr">
        <is>
          <t>KATRINEHOLM</t>
        </is>
      </c>
      <c r="G517" t="n">
        <v>3.8</v>
      </c>
      <c r="H517" t="n">
        <v>0</v>
      </c>
      <c r="I517" t="n">
        <v>0</v>
      </c>
      <c r="J517" t="n">
        <v>0</v>
      </c>
      <c r="K517" t="n">
        <v>0</v>
      </c>
      <c r="L517" t="n">
        <v>0</v>
      </c>
      <c r="M517" t="n">
        <v>0</v>
      </c>
      <c r="N517" t="n">
        <v>0</v>
      </c>
      <c r="O517" t="n">
        <v>0</v>
      </c>
      <c r="P517" t="n">
        <v>0</v>
      </c>
      <c r="Q517" t="n">
        <v>0</v>
      </c>
      <c r="R517" s="2" t="inlineStr"/>
    </row>
    <row r="518" ht="15" customHeight="1">
      <c r="A518" t="inlineStr">
        <is>
          <t>A 59898-2022</t>
        </is>
      </c>
      <c r="B518" s="1" t="n">
        <v>44908</v>
      </c>
      <c r="C518" s="1" t="n">
        <v>46192</v>
      </c>
      <c r="D518" t="inlineStr">
        <is>
          <t>SÖDERMANLANDS LÄN</t>
        </is>
      </c>
      <c r="E518" t="inlineStr">
        <is>
          <t>KATRINEHOLM</t>
        </is>
      </c>
      <c r="G518" t="n">
        <v>4.8</v>
      </c>
      <c r="H518" t="n">
        <v>0</v>
      </c>
      <c r="I518" t="n">
        <v>0</v>
      </c>
      <c r="J518" t="n">
        <v>0</v>
      </c>
      <c r="K518" t="n">
        <v>0</v>
      </c>
      <c r="L518" t="n">
        <v>0</v>
      </c>
      <c r="M518" t="n">
        <v>0</v>
      </c>
      <c r="N518" t="n">
        <v>0</v>
      </c>
      <c r="O518" t="n">
        <v>0</v>
      </c>
      <c r="P518" t="n">
        <v>0</v>
      </c>
      <c r="Q518" t="n">
        <v>0</v>
      </c>
      <c r="R518" s="2" t="inlineStr"/>
    </row>
    <row r="519" ht="15" customHeight="1">
      <c r="A519" t="inlineStr">
        <is>
          <t>A 10086-2026</t>
        </is>
      </c>
      <c r="B519" s="1" t="n">
        <v>46073</v>
      </c>
      <c r="C519" s="1" t="n">
        <v>46192</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73412-2021</t>
        </is>
      </c>
      <c r="B520" s="1" t="n">
        <v>44551</v>
      </c>
      <c r="C520" s="1" t="n">
        <v>46192</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28995-2024</t>
        </is>
      </c>
      <c r="B521" s="1" t="n">
        <v>45481</v>
      </c>
      <c r="C521" s="1" t="n">
        <v>46192</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28597-2024</t>
        </is>
      </c>
      <c r="B522" s="1" t="n">
        <v>45478</v>
      </c>
      <c r="C522" s="1" t="n">
        <v>46192</v>
      </c>
      <c r="D522" t="inlineStr">
        <is>
          <t>SÖDERMANLANDS LÄN</t>
        </is>
      </c>
      <c r="E522" t="inlineStr">
        <is>
          <t>KATRINEHOLM</t>
        </is>
      </c>
      <c r="G522" t="n">
        <v>1.8</v>
      </c>
      <c r="H522" t="n">
        <v>0</v>
      </c>
      <c r="I522" t="n">
        <v>0</v>
      </c>
      <c r="J522" t="n">
        <v>0</v>
      </c>
      <c r="K522" t="n">
        <v>0</v>
      </c>
      <c r="L522" t="n">
        <v>0</v>
      </c>
      <c r="M522" t="n">
        <v>0</v>
      </c>
      <c r="N522" t="n">
        <v>0</v>
      </c>
      <c r="O522" t="n">
        <v>0</v>
      </c>
      <c r="P522" t="n">
        <v>0</v>
      </c>
      <c r="Q522" t="n">
        <v>0</v>
      </c>
      <c r="R522" s="2" t="inlineStr"/>
    </row>
    <row r="523" ht="15" customHeight="1">
      <c r="A523" t="inlineStr">
        <is>
          <t>A 39010-2021</t>
        </is>
      </c>
      <c r="B523" s="1" t="n">
        <v>44412</v>
      </c>
      <c r="C523" s="1" t="n">
        <v>46192</v>
      </c>
      <c r="D523" t="inlineStr">
        <is>
          <t>SÖDERMANLANDS LÄN</t>
        </is>
      </c>
      <c r="E523" t="inlineStr">
        <is>
          <t>KATRINEHOLM</t>
        </is>
      </c>
      <c r="G523" t="n">
        <v>0.8</v>
      </c>
      <c r="H523" t="n">
        <v>0</v>
      </c>
      <c r="I523" t="n">
        <v>0</v>
      </c>
      <c r="J523" t="n">
        <v>0</v>
      </c>
      <c r="K523" t="n">
        <v>0</v>
      </c>
      <c r="L523" t="n">
        <v>0</v>
      </c>
      <c r="M523" t="n">
        <v>0</v>
      </c>
      <c r="N523" t="n">
        <v>0</v>
      </c>
      <c r="O523" t="n">
        <v>0</v>
      </c>
      <c r="P523" t="n">
        <v>0</v>
      </c>
      <c r="Q523" t="n">
        <v>0</v>
      </c>
      <c r="R523" s="2" t="inlineStr"/>
    </row>
    <row r="524" ht="15" customHeight="1">
      <c r="A524" t="inlineStr">
        <is>
          <t>A 6311-2025</t>
        </is>
      </c>
      <c r="B524" s="1" t="n">
        <v>45698</v>
      </c>
      <c r="C524" s="1" t="n">
        <v>46192</v>
      </c>
      <c r="D524" t="inlineStr">
        <is>
          <t>SÖDERMANLANDS LÄN</t>
        </is>
      </c>
      <c r="E524" t="inlineStr">
        <is>
          <t>KATRINEHOLM</t>
        </is>
      </c>
      <c r="G524" t="n">
        <v>0.3</v>
      </c>
      <c r="H524" t="n">
        <v>0</v>
      </c>
      <c r="I524" t="n">
        <v>0</v>
      </c>
      <c r="J524" t="n">
        <v>0</v>
      </c>
      <c r="K524" t="n">
        <v>0</v>
      </c>
      <c r="L524" t="n">
        <v>0</v>
      </c>
      <c r="M524" t="n">
        <v>0</v>
      </c>
      <c r="N524" t="n">
        <v>0</v>
      </c>
      <c r="O524" t="n">
        <v>0</v>
      </c>
      <c r="P524" t="n">
        <v>0</v>
      </c>
      <c r="Q524" t="n">
        <v>0</v>
      </c>
      <c r="R524" s="2" t="inlineStr"/>
    </row>
    <row r="525" ht="15" customHeight="1">
      <c r="A525" t="inlineStr">
        <is>
          <t>A 41966-2023</t>
        </is>
      </c>
      <c r="B525" s="1" t="n">
        <v>45177</v>
      </c>
      <c r="C525" s="1" t="n">
        <v>46192</v>
      </c>
      <c r="D525" t="inlineStr">
        <is>
          <t>SÖDERMANLANDS LÄN</t>
        </is>
      </c>
      <c r="E525" t="inlineStr">
        <is>
          <t>KATRINEHOLM</t>
        </is>
      </c>
      <c r="G525" t="n">
        <v>36.9</v>
      </c>
      <c r="H525" t="n">
        <v>0</v>
      </c>
      <c r="I525" t="n">
        <v>0</v>
      </c>
      <c r="J525" t="n">
        <v>0</v>
      </c>
      <c r="K525" t="n">
        <v>0</v>
      </c>
      <c r="L525" t="n">
        <v>0</v>
      </c>
      <c r="M525" t="n">
        <v>0</v>
      </c>
      <c r="N525" t="n">
        <v>0</v>
      </c>
      <c r="O525" t="n">
        <v>0</v>
      </c>
      <c r="P525" t="n">
        <v>0</v>
      </c>
      <c r="Q525" t="n">
        <v>0</v>
      </c>
      <c r="R525" s="2" t="inlineStr"/>
    </row>
    <row r="526" ht="15" customHeight="1">
      <c r="A526" t="inlineStr">
        <is>
          <t>A 10446-2024</t>
        </is>
      </c>
      <c r="B526" s="1" t="n">
        <v>45366</v>
      </c>
      <c r="C526" s="1" t="n">
        <v>46192</v>
      </c>
      <c r="D526" t="inlineStr">
        <is>
          <t>SÖDERMANLANDS LÄN</t>
        </is>
      </c>
      <c r="E526" t="inlineStr">
        <is>
          <t>KATRINEHOLM</t>
        </is>
      </c>
      <c r="G526" t="n">
        <v>2.3</v>
      </c>
      <c r="H526" t="n">
        <v>0</v>
      </c>
      <c r="I526" t="n">
        <v>0</v>
      </c>
      <c r="J526" t="n">
        <v>0</v>
      </c>
      <c r="K526" t="n">
        <v>0</v>
      </c>
      <c r="L526" t="n">
        <v>0</v>
      </c>
      <c r="M526" t="n">
        <v>0</v>
      </c>
      <c r="N526" t="n">
        <v>0</v>
      </c>
      <c r="O526" t="n">
        <v>0</v>
      </c>
      <c r="P526" t="n">
        <v>0</v>
      </c>
      <c r="Q526" t="n">
        <v>0</v>
      </c>
      <c r="R526" s="2" t="inlineStr"/>
    </row>
    <row r="527" ht="15" customHeight="1">
      <c r="A527" t="inlineStr">
        <is>
          <t>A 11130-2026</t>
        </is>
      </c>
      <c r="B527" s="1" t="n">
        <v>46079</v>
      </c>
      <c r="C527" s="1" t="n">
        <v>46192</v>
      </c>
      <c r="D527" t="inlineStr">
        <is>
          <t>SÖDERMANLANDS LÄN</t>
        </is>
      </c>
      <c r="E527" t="inlineStr">
        <is>
          <t>KATRINEHOLM</t>
        </is>
      </c>
      <c r="F527" t="inlineStr">
        <is>
          <t>Kommuner</t>
        </is>
      </c>
      <c r="G527" t="n">
        <v>1.5</v>
      </c>
      <c r="H527" t="n">
        <v>0</v>
      </c>
      <c r="I527" t="n">
        <v>0</v>
      </c>
      <c r="J527" t="n">
        <v>0</v>
      </c>
      <c r="K527" t="n">
        <v>0</v>
      </c>
      <c r="L527" t="n">
        <v>0</v>
      </c>
      <c r="M527" t="n">
        <v>0</v>
      </c>
      <c r="N527" t="n">
        <v>0</v>
      </c>
      <c r="O527" t="n">
        <v>0</v>
      </c>
      <c r="P527" t="n">
        <v>0</v>
      </c>
      <c r="Q527" t="n">
        <v>0</v>
      </c>
      <c r="R527" s="2" t="inlineStr"/>
    </row>
    <row r="528" ht="15" customHeight="1">
      <c r="A528" t="inlineStr">
        <is>
          <t>A 8761-2023</t>
        </is>
      </c>
      <c r="B528" s="1" t="n">
        <v>44978</v>
      </c>
      <c r="C528" s="1" t="n">
        <v>46192</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8778-2023</t>
        </is>
      </c>
      <c r="B529" s="1" t="n">
        <v>44978</v>
      </c>
      <c r="C529" s="1" t="n">
        <v>46192</v>
      </c>
      <c r="D529" t="inlineStr">
        <is>
          <t>SÖDERMANLANDS LÄN</t>
        </is>
      </c>
      <c r="E529" t="inlineStr">
        <is>
          <t>KATRINEHOLM</t>
        </is>
      </c>
      <c r="G529" t="n">
        <v>4.5</v>
      </c>
      <c r="H529" t="n">
        <v>0</v>
      </c>
      <c r="I529" t="n">
        <v>0</v>
      </c>
      <c r="J529" t="n">
        <v>0</v>
      </c>
      <c r="K529" t="n">
        <v>0</v>
      </c>
      <c r="L529" t="n">
        <v>0</v>
      </c>
      <c r="M529" t="n">
        <v>0</v>
      </c>
      <c r="N529" t="n">
        <v>0</v>
      </c>
      <c r="O529" t="n">
        <v>0</v>
      </c>
      <c r="P529" t="n">
        <v>0</v>
      </c>
      <c r="Q529" t="n">
        <v>0</v>
      </c>
      <c r="R529" s="2" t="inlineStr"/>
    </row>
    <row r="530" ht="15" customHeight="1">
      <c r="A530" t="inlineStr">
        <is>
          <t>A 14622-2026</t>
        </is>
      </c>
      <c r="B530" s="1" t="n">
        <v>46101</v>
      </c>
      <c r="C530" s="1" t="n">
        <v>46192</v>
      </c>
      <c r="D530" t="inlineStr">
        <is>
          <t>SÖDERMANLANDS LÄN</t>
        </is>
      </c>
      <c r="E530" t="inlineStr">
        <is>
          <t>KATRINEHOLM</t>
        </is>
      </c>
      <c r="G530" t="n">
        <v>2.5</v>
      </c>
      <c r="H530" t="n">
        <v>0</v>
      </c>
      <c r="I530" t="n">
        <v>0</v>
      </c>
      <c r="J530" t="n">
        <v>0</v>
      </c>
      <c r="K530" t="n">
        <v>0</v>
      </c>
      <c r="L530" t="n">
        <v>0</v>
      </c>
      <c r="M530" t="n">
        <v>0</v>
      </c>
      <c r="N530" t="n">
        <v>0</v>
      </c>
      <c r="O530" t="n">
        <v>0</v>
      </c>
      <c r="P530" t="n">
        <v>0</v>
      </c>
      <c r="Q530" t="n">
        <v>0</v>
      </c>
      <c r="R530" s="2" t="inlineStr"/>
    </row>
    <row r="531" ht="15" customHeight="1">
      <c r="A531" t="inlineStr">
        <is>
          <t>A 15399-2022</t>
        </is>
      </c>
      <c r="B531" s="1" t="n">
        <v>44659</v>
      </c>
      <c r="C531" s="1" t="n">
        <v>46192</v>
      </c>
      <c r="D531" t="inlineStr">
        <is>
          <t>SÖDERMANLANDS LÄN</t>
        </is>
      </c>
      <c r="E531" t="inlineStr">
        <is>
          <t>KATRINEHOLM</t>
        </is>
      </c>
      <c r="G531" t="n">
        <v>5.6</v>
      </c>
      <c r="H531" t="n">
        <v>0</v>
      </c>
      <c r="I531" t="n">
        <v>0</v>
      </c>
      <c r="J531" t="n">
        <v>0</v>
      </c>
      <c r="K531" t="n">
        <v>0</v>
      </c>
      <c r="L531" t="n">
        <v>0</v>
      </c>
      <c r="M531" t="n">
        <v>0</v>
      </c>
      <c r="N531" t="n">
        <v>0</v>
      </c>
      <c r="O531" t="n">
        <v>0</v>
      </c>
      <c r="P531" t="n">
        <v>0</v>
      </c>
      <c r="Q531" t="n">
        <v>0</v>
      </c>
      <c r="R531" s="2" t="inlineStr"/>
    </row>
    <row r="532" ht="15" customHeight="1">
      <c r="A532" t="inlineStr">
        <is>
          <t>A 49116-2024</t>
        </is>
      </c>
      <c r="B532" s="1" t="n">
        <v>45594</v>
      </c>
      <c r="C532" s="1" t="n">
        <v>46192</v>
      </c>
      <c r="D532" t="inlineStr">
        <is>
          <t>SÖDERMANLANDS LÄN</t>
        </is>
      </c>
      <c r="E532" t="inlineStr">
        <is>
          <t>KATRINEHOLM</t>
        </is>
      </c>
      <c r="G532" t="n">
        <v>0.9</v>
      </c>
      <c r="H532" t="n">
        <v>0</v>
      </c>
      <c r="I532" t="n">
        <v>0</v>
      </c>
      <c r="J532" t="n">
        <v>0</v>
      </c>
      <c r="K532" t="n">
        <v>0</v>
      </c>
      <c r="L532" t="n">
        <v>0</v>
      </c>
      <c r="M532" t="n">
        <v>0</v>
      </c>
      <c r="N532" t="n">
        <v>0</v>
      </c>
      <c r="O532" t="n">
        <v>0</v>
      </c>
      <c r="P532" t="n">
        <v>0</v>
      </c>
      <c r="Q532" t="n">
        <v>0</v>
      </c>
      <c r="R532" s="2" t="inlineStr"/>
    </row>
    <row r="533" ht="15" customHeight="1">
      <c r="A533" t="inlineStr">
        <is>
          <t>A 11677-2026</t>
        </is>
      </c>
      <c r="B533" s="1" t="n">
        <v>46084</v>
      </c>
      <c r="C533" s="1" t="n">
        <v>46192</v>
      </c>
      <c r="D533" t="inlineStr">
        <is>
          <t>SÖDERMANLANDS LÄN</t>
        </is>
      </c>
      <c r="E533" t="inlineStr">
        <is>
          <t>KATRINEHOLM</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6753-2022</t>
        </is>
      </c>
      <c r="B534" s="1" t="n">
        <v>44602</v>
      </c>
      <c r="C534" s="1" t="n">
        <v>46192</v>
      </c>
      <c r="D534" t="inlineStr">
        <is>
          <t>SÖDERMANLANDS LÄN</t>
        </is>
      </c>
      <c r="E534" t="inlineStr">
        <is>
          <t>KATRINEHOLM</t>
        </is>
      </c>
      <c r="G534" t="n">
        <v>4.3</v>
      </c>
      <c r="H534" t="n">
        <v>0</v>
      </c>
      <c r="I534" t="n">
        <v>0</v>
      </c>
      <c r="J534" t="n">
        <v>0</v>
      </c>
      <c r="K534" t="n">
        <v>0</v>
      </c>
      <c r="L534" t="n">
        <v>0</v>
      </c>
      <c r="M534" t="n">
        <v>0</v>
      </c>
      <c r="N534" t="n">
        <v>0</v>
      </c>
      <c r="O534" t="n">
        <v>0</v>
      </c>
      <c r="P534" t="n">
        <v>0</v>
      </c>
      <c r="Q534" t="n">
        <v>0</v>
      </c>
      <c r="R534" s="2" t="inlineStr"/>
    </row>
    <row r="535" ht="15" customHeight="1">
      <c r="A535" t="inlineStr">
        <is>
          <t>A 6763-2022</t>
        </is>
      </c>
      <c r="B535" s="1" t="n">
        <v>44602</v>
      </c>
      <c r="C535" s="1" t="n">
        <v>46192</v>
      </c>
      <c r="D535" t="inlineStr">
        <is>
          <t>SÖDERMANLANDS LÄN</t>
        </is>
      </c>
      <c r="E535" t="inlineStr">
        <is>
          <t>KATRINEHOLM</t>
        </is>
      </c>
      <c r="G535" t="n">
        <v>6.7</v>
      </c>
      <c r="H535" t="n">
        <v>0</v>
      </c>
      <c r="I535" t="n">
        <v>0</v>
      </c>
      <c r="J535" t="n">
        <v>0</v>
      </c>
      <c r="K535" t="n">
        <v>0</v>
      </c>
      <c r="L535" t="n">
        <v>0</v>
      </c>
      <c r="M535" t="n">
        <v>0</v>
      </c>
      <c r="N535" t="n">
        <v>0</v>
      </c>
      <c r="O535" t="n">
        <v>0</v>
      </c>
      <c r="P535" t="n">
        <v>0</v>
      </c>
      <c r="Q535" t="n">
        <v>0</v>
      </c>
      <c r="R535" s="2" t="inlineStr"/>
    </row>
    <row r="536" ht="15" customHeight="1">
      <c r="A536" t="inlineStr">
        <is>
          <t>A 22119-2025</t>
        </is>
      </c>
      <c r="B536" s="1" t="n">
        <v>45785</v>
      </c>
      <c r="C536" s="1" t="n">
        <v>46192</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39068-2022</t>
        </is>
      </c>
      <c r="B537" s="1" t="n">
        <v>44816</v>
      </c>
      <c r="C537" s="1" t="n">
        <v>46192</v>
      </c>
      <c r="D537" t="inlineStr">
        <is>
          <t>SÖDERMANLANDS LÄN</t>
        </is>
      </c>
      <c r="E537" t="inlineStr">
        <is>
          <t>KATRINEHOLM</t>
        </is>
      </c>
      <c r="G537" t="n">
        <v>3.6</v>
      </c>
      <c r="H537" t="n">
        <v>0</v>
      </c>
      <c r="I537" t="n">
        <v>0</v>
      </c>
      <c r="J537" t="n">
        <v>0</v>
      </c>
      <c r="K537" t="n">
        <v>0</v>
      </c>
      <c r="L537" t="n">
        <v>0</v>
      </c>
      <c r="M537" t="n">
        <v>0</v>
      </c>
      <c r="N537" t="n">
        <v>0</v>
      </c>
      <c r="O537" t="n">
        <v>0</v>
      </c>
      <c r="P537" t="n">
        <v>0</v>
      </c>
      <c r="Q537" t="n">
        <v>0</v>
      </c>
      <c r="R537" s="2" t="inlineStr"/>
    </row>
    <row r="538" ht="15" customHeight="1">
      <c r="A538" t="inlineStr">
        <is>
          <t>A 11666-2026</t>
        </is>
      </c>
      <c r="B538" s="1" t="n">
        <v>46084</v>
      </c>
      <c r="C538" s="1" t="n">
        <v>46192</v>
      </c>
      <c r="D538" t="inlineStr">
        <is>
          <t>SÖDERMANLANDS LÄN</t>
        </is>
      </c>
      <c r="E538" t="inlineStr">
        <is>
          <t>KATRINEHOLM</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11621-2026</t>
        </is>
      </c>
      <c r="B539" s="1" t="n">
        <v>46084</v>
      </c>
      <c r="C539" s="1" t="n">
        <v>46192</v>
      </c>
      <c r="D539" t="inlineStr">
        <is>
          <t>SÖDERMANLANDS LÄN</t>
        </is>
      </c>
      <c r="E539" t="inlineStr">
        <is>
          <t>KATRINEHOLM</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66540-2021</t>
        </is>
      </c>
      <c r="B540" s="1" t="n">
        <v>44519</v>
      </c>
      <c r="C540" s="1" t="n">
        <v>46192</v>
      </c>
      <c r="D540" t="inlineStr">
        <is>
          <t>SÖDERMANLANDS LÄN</t>
        </is>
      </c>
      <c r="E540" t="inlineStr">
        <is>
          <t>KATRINEHOLM</t>
        </is>
      </c>
      <c r="F540" t="inlineStr">
        <is>
          <t>Holmen skog AB</t>
        </is>
      </c>
      <c r="G540" t="n">
        <v>0.4</v>
      </c>
      <c r="H540" t="n">
        <v>0</v>
      </c>
      <c r="I540" t="n">
        <v>0</v>
      </c>
      <c r="J540" t="n">
        <v>0</v>
      </c>
      <c r="K540" t="n">
        <v>0</v>
      </c>
      <c r="L540" t="n">
        <v>0</v>
      </c>
      <c r="M540" t="n">
        <v>0</v>
      </c>
      <c r="N540" t="n">
        <v>0</v>
      </c>
      <c r="O540" t="n">
        <v>0</v>
      </c>
      <c r="P540" t="n">
        <v>0</v>
      </c>
      <c r="Q540" t="n">
        <v>0</v>
      </c>
      <c r="R540" s="2" t="inlineStr"/>
    </row>
    <row r="541" ht="15" customHeight="1">
      <c r="A541" t="inlineStr">
        <is>
          <t>A 24983-2024</t>
        </is>
      </c>
      <c r="B541" s="1" t="n">
        <v>45461</v>
      </c>
      <c r="C541" s="1" t="n">
        <v>46192</v>
      </c>
      <c r="D541" t="inlineStr">
        <is>
          <t>SÖDERMANLANDS LÄN</t>
        </is>
      </c>
      <c r="E541" t="inlineStr">
        <is>
          <t>KATRINEHOLM</t>
        </is>
      </c>
      <c r="G541" t="n">
        <v>2.6</v>
      </c>
      <c r="H541" t="n">
        <v>0</v>
      </c>
      <c r="I541" t="n">
        <v>0</v>
      </c>
      <c r="J541" t="n">
        <v>0</v>
      </c>
      <c r="K541" t="n">
        <v>0</v>
      </c>
      <c r="L541" t="n">
        <v>0</v>
      </c>
      <c r="M541" t="n">
        <v>0</v>
      </c>
      <c r="N541" t="n">
        <v>0</v>
      </c>
      <c r="O541" t="n">
        <v>0</v>
      </c>
      <c r="P541" t="n">
        <v>0</v>
      </c>
      <c r="Q541" t="n">
        <v>0</v>
      </c>
      <c r="R541" s="2" t="inlineStr"/>
    </row>
    <row r="542" ht="15" customHeight="1">
      <c r="A542" t="inlineStr">
        <is>
          <t>A 32943-2024</t>
        </is>
      </c>
      <c r="B542" s="1" t="n">
        <v>45517</v>
      </c>
      <c r="C542" s="1" t="n">
        <v>46192</v>
      </c>
      <c r="D542" t="inlineStr">
        <is>
          <t>SÖDERMANLANDS LÄN</t>
        </is>
      </c>
      <c r="E542" t="inlineStr">
        <is>
          <t>KATRINEHOLM</t>
        </is>
      </c>
      <c r="G542" t="n">
        <v>1.8</v>
      </c>
      <c r="H542" t="n">
        <v>0</v>
      </c>
      <c r="I542" t="n">
        <v>0</v>
      </c>
      <c r="J542" t="n">
        <v>0</v>
      </c>
      <c r="K542" t="n">
        <v>0</v>
      </c>
      <c r="L542" t="n">
        <v>0</v>
      </c>
      <c r="M542" t="n">
        <v>0</v>
      </c>
      <c r="N542" t="n">
        <v>0</v>
      </c>
      <c r="O542" t="n">
        <v>0</v>
      </c>
      <c r="P542" t="n">
        <v>0</v>
      </c>
      <c r="Q542" t="n">
        <v>0</v>
      </c>
      <c r="R542" s="2" t="inlineStr"/>
    </row>
    <row r="543" ht="15" customHeight="1">
      <c r="A543" t="inlineStr">
        <is>
          <t>A 8288-2023</t>
        </is>
      </c>
      <c r="B543" s="1" t="n">
        <v>44974</v>
      </c>
      <c r="C543" s="1" t="n">
        <v>46192</v>
      </c>
      <c r="D543" t="inlineStr">
        <is>
          <t>SÖDERMANLANDS LÄN</t>
        </is>
      </c>
      <c r="E543" t="inlineStr">
        <is>
          <t>KATRINEHOLM</t>
        </is>
      </c>
      <c r="F543" t="inlineStr">
        <is>
          <t>Allmännings- och besparingsskogar</t>
        </is>
      </c>
      <c r="G543" t="n">
        <v>5.6</v>
      </c>
      <c r="H543" t="n">
        <v>0</v>
      </c>
      <c r="I543" t="n">
        <v>0</v>
      </c>
      <c r="J543" t="n">
        <v>0</v>
      </c>
      <c r="K543" t="n">
        <v>0</v>
      </c>
      <c r="L543" t="n">
        <v>0</v>
      </c>
      <c r="M543" t="n">
        <v>0</v>
      </c>
      <c r="N543" t="n">
        <v>0</v>
      </c>
      <c r="O543" t="n">
        <v>0</v>
      </c>
      <c r="P543" t="n">
        <v>0</v>
      </c>
      <c r="Q543" t="n">
        <v>0</v>
      </c>
      <c r="R543" s="2" t="inlineStr"/>
    </row>
    <row r="544" ht="15" customHeight="1">
      <c r="A544" t="inlineStr">
        <is>
          <t>A 45142-2021</t>
        </is>
      </c>
      <c r="B544" s="1" t="n">
        <v>44439</v>
      </c>
      <c r="C544" s="1" t="n">
        <v>46192</v>
      </c>
      <c r="D544" t="inlineStr">
        <is>
          <t>SÖDERMANLANDS LÄN</t>
        </is>
      </c>
      <c r="E544" t="inlineStr">
        <is>
          <t>KATRINEHOLM</t>
        </is>
      </c>
      <c r="G544" t="n">
        <v>1.8</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46192</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46192</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53387-2023</t>
        </is>
      </c>
      <c r="B547" s="1" t="n">
        <v>45229</v>
      </c>
      <c r="C547" s="1" t="n">
        <v>46192</v>
      </c>
      <c r="D547" t="inlineStr">
        <is>
          <t>SÖDERMANLANDS LÄN</t>
        </is>
      </c>
      <c r="E547" t="inlineStr">
        <is>
          <t>KATRINEHOLM</t>
        </is>
      </c>
      <c r="F547" t="inlineStr">
        <is>
          <t>Kyrkan</t>
        </is>
      </c>
      <c r="G547" t="n">
        <v>7.4</v>
      </c>
      <c r="H547" t="n">
        <v>0</v>
      </c>
      <c r="I547" t="n">
        <v>0</v>
      </c>
      <c r="J547" t="n">
        <v>0</v>
      </c>
      <c r="K547" t="n">
        <v>0</v>
      </c>
      <c r="L547" t="n">
        <v>0</v>
      </c>
      <c r="M547" t="n">
        <v>0</v>
      </c>
      <c r="N547" t="n">
        <v>0</v>
      </c>
      <c r="O547" t="n">
        <v>0</v>
      </c>
      <c r="P547" t="n">
        <v>0</v>
      </c>
      <c r="Q547" t="n">
        <v>0</v>
      </c>
      <c r="R547" s="2" t="inlineStr"/>
    </row>
    <row r="548" ht="15" customHeight="1">
      <c r="A548" t="inlineStr">
        <is>
          <t>A 55169-2022</t>
        </is>
      </c>
      <c r="B548" s="1" t="n">
        <v>44886</v>
      </c>
      <c r="C548" s="1" t="n">
        <v>46192</v>
      </c>
      <c r="D548" t="inlineStr">
        <is>
          <t>SÖDERMANLANDS LÄN</t>
        </is>
      </c>
      <c r="E548" t="inlineStr">
        <is>
          <t>KATRINEHOLM</t>
        </is>
      </c>
      <c r="G548" t="n">
        <v>1.3</v>
      </c>
      <c r="H548" t="n">
        <v>0</v>
      </c>
      <c r="I548" t="n">
        <v>0</v>
      </c>
      <c r="J548" t="n">
        <v>0</v>
      </c>
      <c r="K548" t="n">
        <v>0</v>
      </c>
      <c r="L548" t="n">
        <v>0</v>
      </c>
      <c r="M548" t="n">
        <v>0</v>
      </c>
      <c r="N548" t="n">
        <v>0</v>
      </c>
      <c r="O548" t="n">
        <v>0</v>
      </c>
      <c r="P548" t="n">
        <v>0</v>
      </c>
      <c r="Q548" t="n">
        <v>0</v>
      </c>
      <c r="R548" s="2" t="inlineStr"/>
    </row>
    <row r="549" ht="15" customHeight="1">
      <c r="A549" t="inlineStr">
        <is>
          <t>A 13612-2023</t>
        </is>
      </c>
      <c r="B549" s="1" t="n">
        <v>45006</v>
      </c>
      <c r="C549" s="1" t="n">
        <v>46192</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12831-2026</t>
        </is>
      </c>
      <c r="B550" s="1" t="n">
        <v>46092</v>
      </c>
      <c r="C550" s="1" t="n">
        <v>46192</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7747-2024</t>
        </is>
      </c>
      <c r="B551" s="1" t="n">
        <v>45348</v>
      </c>
      <c r="C551" s="1" t="n">
        <v>46192</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4650-2024</t>
        </is>
      </c>
      <c r="B552" s="1" t="n">
        <v>45328</v>
      </c>
      <c r="C552" s="1" t="n">
        <v>46192</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4652-2024</t>
        </is>
      </c>
      <c r="B553" s="1" t="n">
        <v>45328</v>
      </c>
      <c r="C553" s="1" t="n">
        <v>46192</v>
      </c>
      <c r="D553" t="inlineStr">
        <is>
          <t>SÖDERMANLANDS LÄN</t>
        </is>
      </c>
      <c r="E553" t="inlineStr">
        <is>
          <t>KATRINEHOLM</t>
        </is>
      </c>
      <c r="F553" t="inlineStr">
        <is>
          <t>Övriga Aktiebolag</t>
        </is>
      </c>
      <c r="G553" t="n">
        <v>6.1</v>
      </c>
      <c r="H553" t="n">
        <v>0</v>
      </c>
      <c r="I553" t="n">
        <v>0</v>
      </c>
      <c r="J553" t="n">
        <v>0</v>
      </c>
      <c r="K553" t="n">
        <v>0</v>
      </c>
      <c r="L553" t="n">
        <v>0</v>
      </c>
      <c r="M553" t="n">
        <v>0</v>
      </c>
      <c r="N553" t="n">
        <v>0</v>
      </c>
      <c r="O553" t="n">
        <v>0</v>
      </c>
      <c r="P553" t="n">
        <v>0</v>
      </c>
      <c r="Q553" t="n">
        <v>0</v>
      </c>
      <c r="R553" s="2" t="inlineStr"/>
    </row>
    <row r="554" ht="15" customHeight="1">
      <c r="A554" t="inlineStr">
        <is>
          <t>A 13633-2026</t>
        </is>
      </c>
      <c r="B554" s="1" t="n">
        <v>46097</v>
      </c>
      <c r="C554" s="1" t="n">
        <v>46192</v>
      </c>
      <c r="D554" t="inlineStr">
        <is>
          <t>SÖDERMANLANDS LÄN</t>
        </is>
      </c>
      <c r="E554" t="inlineStr">
        <is>
          <t>KATRINEHOLM</t>
        </is>
      </c>
      <c r="G554" t="n">
        <v>1.9</v>
      </c>
      <c r="H554" t="n">
        <v>0</v>
      </c>
      <c r="I554" t="n">
        <v>0</v>
      </c>
      <c r="J554" t="n">
        <v>0</v>
      </c>
      <c r="K554" t="n">
        <v>0</v>
      </c>
      <c r="L554" t="n">
        <v>0</v>
      </c>
      <c r="M554" t="n">
        <v>0</v>
      </c>
      <c r="N554" t="n">
        <v>0</v>
      </c>
      <c r="O554" t="n">
        <v>0</v>
      </c>
      <c r="P554" t="n">
        <v>0</v>
      </c>
      <c r="Q554" t="n">
        <v>0</v>
      </c>
      <c r="R554" s="2" t="inlineStr"/>
    </row>
    <row r="555" ht="15" customHeight="1">
      <c r="A555" t="inlineStr">
        <is>
          <t>A 13841-2026</t>
        </is>
      </c>
      <c r="B555" s="1" t="n">
        <v>46098</v>
      </c>
      <c r="C555" s="1" t="n">
        <v>46192</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32166-2022</t>
        </is>
      </c>
      <c r="B556" s="1" t="n">
        <v>44781</v>
      </c>
      <c r="C556" s="1" t="n">
        <v>46192</v>
      </c>
      <c r="D556" t="inlineStr">
        <is>
          <t>SÖDERMANLANDS LÄN</t>
        </is>
      </c>
      <c r="E556" t="inlineStr">
        <is>
          <t>KATRINEHOLM</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59384-2022</t>
        </is>
      </c>
      <c r="B557" s="1" t="n">
        <v>44905</v>
      </c>
      <c r="C557" s="1" t="n">
        <v>46192</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10996-2022</t>
        </is>
      </c>
      <c r="B558" s="1" t="n">
        <v>44628</v>
      </c>
      <c r="C558" s="1" t="n">
        <v>46192</v>
      </c>
      <c r="D558" t="inlineStr">
        <is>
          <t>SÖDERMANLANDS LÄN</t>
        </is>
      </c>
      <c r="E558" t="inlineStr">
        <is>
          <t>KATRINEHOLM</t>
        </is>
      </c>
      <c r="G558" t="n">
        <v>0.3</v>
      </c>
      <c r="H558" t="n">
        <v>0</v>
      </c>
      <c r="I558" t="n">
        <v>0</v>
      </c>
      <c r="J558" t="n">
        <v>0</v>
      </c>
      <c r="K558" t="n">
        <v>0</v>
      </c>
      <c r="L558" t="n">
        <v>0</v>
      </c>
      <c r="M558" t="n">
        <v>0</v>
      </c>
      <c r="N558" t="n">
        <v>0</v>
      </c>
      <c r="O558" t="n">
        <v>0</v>
      </c>
      <c r="P558" t="n">
        <v>0</v>
      </c>
      <c r="Q558" t="n">
        <v>0</v>
      </c>
      <c r="R558" s="2" t="inlineStr"/>
    </row>
    <row r="559" ht="15" customHeight="1">
      <c r="A559" t="inlineStr">
        <is>
          <t>A 13630-2026</t>
        </is>
      </c>
      <c r="B559" s="1" t="n">
        <v>46097</v>
      </c>
      <c r="C559" s="1" t="n">
        <v>46192</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13632-2026</t>
        </is>
      </c>
      <c r="B560" s="1" t="n">
        <v>46097</v>
      </c>
      <c r="C560" s="1" t="n">
        <v>46192</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13655-2026</t>
        </is>
      </c>
      <c r="B561" s="1" t="n">
        <v>46097</v>
      </c>
      <c r="C561" s="1" t="n">
        <v>46192</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25363-2023</t>
        </is>
      </c>
      <c r="B562" s="1" t="n">
        <v>45088</v>
      </c>
      <c r="C562" s="1" t="n">
        <v>46192</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2603-2025</t>
        </is>
      </c>
      <c r="B563" s="1" t="n">
        <v>45674</v>
      </c>
      <c r="C563" s="1" t="n">
        <v>46192</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14770-2026</t>
        </is>
      </c>
      <c r="B564" s="1" t="n">
        <v>46101</v>
      </c>
      <c r="C564" s="1" t="n">
        <v>46192</v>
      </c>
      <c r="D564" t="inlineStr">
        <is>
          <t>SÖDERMANLANDS LÄN</t>
        </is>
      </c>
      <c r="E564" t="inlineStr">
        <is>
          <t>KATRINEHOLM</t>
        </is>
      </c>
      <c r="G564" t="n">
        <v>7.5</v>
      </c>
      <c r="H564" t="n">
        <v>0</v>
      </c>
      <c r="I564" t="n">
        <v>0</v>
      </c>
      <c r="J564" t="n">
        <v>0</v>
      </c>
      <c r="K564" t="n">
        <v>0</v>
      </c>
      <c r="L564" t="n">
        <v>0</v>
      </c>
      <c r="M564" t="n">
        <v>0</v>
      </c>
      <c r="N564" t="n">
        <v>0</v>
      </c>
      <c r="O564" t="n">
        <v>0</v>
      </c>
      <c r="P564" t="n">
        <v>0</v>
      </c>
      <c r="Q564" t="n">
        <v>0</v>
      </c>
      <c r="R564" s="2" t="inlineStr"/>
    </row>
    <row r="565" ht="15" customHeight="1">
      <c r="A565" t="inlineStr">
        <is>
          <t>A 61423-2024</t>
        </is>
      </c>
      <c r="B565" s="1" t="n">
        <v>45646</v>
      </c>
      <c r="C565" s="1" t="n">
        <v>46192</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14751-2026</t>
        </is>
      </c>
      <c r="B566" s="1" t="n">
        <v>46101</v>
      </c>
      <c r="C566" s="1" t="n">
        <v>46192</v>
      </c>
      <c r="D566" t="inlineStr">
        <is>
          <t>SÖDERMANLANDS LÄN</t>
        </is>
      </c>
      <c r="E566" t="inlineStr">
        <is>
          <t>KATRINEHOLM</t>
        </is>
      </c>
      <c r="G566" t="n">
        <v>2.1</v>
      </c>
      <c r="H566" t="n">
        <v>0</v>
      </c>
      <c r="I566" t="n">
        <v>0</v>
      </c>
      <c r="J566" t="n">
        <v>0</v>
      </c>
      <c r="K566" t="n">
        <v>0</v>
      </c>
      <c r="L566" t="n">
        <v>0</v>
      </c>
      <c r="M566" t="n">
        <v>0</v>
      </c>
      <c r="N566" t="n">
        <v>0</v>
      </c>
      <c r="O566" t="n">
        <v>0</v>
      </c>
      <c r="P566" t="n">
        <v>0</v>
      </c>
      <c r="Q566" t="n">
        <v>0</v>
      </c>
      <c r="R566" s="2" t="inlineStr"/>
    </row>
    <row r="567" ht="15" customHeight="1">
      <c r="A567" t="inlineStr">
        <is>
          <t>A 24605-2025</t>
        </is>
      </c>
      <c r="B567" s="1" t="n">
        <v>45798</v>
      </c>
      <c r="C567" s="1" t="n">
        <v>46192</v>
      </c>
      <c r="D567" t="inlineStr">
        <is>
          <t>SÖDERMANLANDS LÄN</t>
        </is>
      </c>
      <c r="E567" t="inlineStr">
        <is>
          <t>KATRINEHOLM</t>
        </is>
      </c>
      <c r="G567" t="n">
        <v>7</v>
      </c>
      <c r="H567" t="n">
        <v>0</v>
      </c>
      <c r="I567" t="n">
        <v>0</v>
      </c>
      <c r="J567" t="n">
        <v>0</v>
      </c>
      <c r="K567" t="n">
        <v>0</v>
      </c>
      <c r="L567" t="n">
        <v>0</v>
      </c>
      <c r="M567" t="n">
        <v>0</v>
      </c>
      <c r="N567" t="n">
        <v>0</v>
      </c>
      <c r="O567" t="n">
        <v>0</v>
      </c>
      <c r="P567" t="n">
        <v>0</v>
      </c>
      <c r="Q567" t="n">
        <v>0</v>
      </c>
      <c r="R567" s="2" t="inlineStr"/>
    </row>
    <row r="568" ht="15" customHeight="1">
      <c r="A568" t="inlineStr">
        <is>
          <t>A 53999-2023</t>
        </is>
      </c>
      <c r="B568" s="1" t="n">
        <v>45231</v>
      </c>
      <c r="C568" s="1" t="n">
        <v>46192</v>
      </c>
      <c r="D568" t="inlineStr">
        <is>
          <t>SÖDERMANLANDS LÄN</t>
        </is>
      </c>
      <c r="E568" t="inlineStr">
        <is>
          <t>KATRINEHOLM</t>
        </is>
      </c>
      <c r="G568" t="n">
        <v>5.4</v>
      </c>
      <c r="H568" t="n">
        <v>0</v>
      </c>
      <c r="I568" t="n">
        <v>0</v>
      </c>
      <c r="J568" t="n">
        <v>0</v>
      </c>
      <c r="K568" t="n">
        <v>0</v>
      </c>
      <c r="L568" t="n">
        <v>0</v>
      </c>
      <c r="M568" t="n">
        <v>0</v>
      </c>
      <c r="N568" t="n">
        <v>0</v>
      </c>
      <c r="O568" t="n">
        <v>0</v>
      </c>
      <c r="P568" t="n">
        <v>0</v>
      </c>
      <c r="Q568" t="n">
        <v>0</v>
      </c>
      <c r="R568" s="2" t="inlineStr"/>
    </row>
    <row r="569" ht="15" customHeight="1">
      <c r="A569" t="inlineStr">
        <is>
          <t>A 41727-2024</t>
        </is>
      </c>
      <c r="B569" s="1" t="n">
        <v>45560</v>
      </c>
      <c r="C569" s="1" t="n">
        <v>46192</v>
      </c>
      <c r="D569" t="inlineStr">
        <is>
          <t>SÖDERMANLANDS LÄN</t>
        </is>
      </c>
      <c r="E569" t="inlineStr">
        <is>
          <t>KATRINEHOLM</t>
        </is>
      </c>
      <c r="G569" t="n">
        <v>3.9</v>
      </c>
      <c r="H569" t="n">
        <v>0</v>
      </c>
      <c r="I569" t="n">
        <v>0</v>
      </c>
      <c r="J569" t="n">
        <v>0</v>
      </c>
      <c r="K569" t="n">
        <v>0</v>
      </c>
      <c r="L569" t="n">
        <v>0</v>
      </c>
      <c r="M569" t="n">
        <v>0</v>
      </c>
      <c r="N569" t="n">
        <v>0</v>
      </c>
      <c r="O569" t="n">
        <v>0</v>
      </c>
      <c r="P569" t="n">
        <v>0</v>
      </c>
      <c r="Q569" t="n">
        <v>0</v>
      </c>
      <c r="R569" s="2" t="inlineStr"/>
    </row>
    <row r="570" ht="15" customHeight="1">
      <c r="A570" t="inlineStr">
        <is>
          <t>A 15701-2026</t>
        </is>
      </c>
      <c r="B570" s="1" t="n">
        <v>46106</v>
      </c>
      <c r="C570" s="1" t="n">
        <v>46192</v>
      </c>
      <c r="D570" t="inlineStr">
        <is>
          <t>SÖDERMANLANDS LÄN</t>
        </is>
      </c>
      <c r="E570" t="inlineStr">
        <is>
          <t>KATRINEHOLM</t>
        </is>
      </c>
      <c r="G570" t="n">
        <v>2.2</v>
      </c>
      <c r="H570" t="n">
        <v>0</v>
      </c>
      <c r="I570" t="n">
        <v>0</v>
      </c>
      <c r="J570" t="n">
        <v>0</v>
      </c>
      <c r="K570" t="n">
        <v>0</v>
      </c>
      <c r="L570" t="n">
        <v>0</v>
      </c>
      <c r="M570" t="n">
        <v>0</v>
      </c>
      <c r="N570" t="n">
        <v>0</v>
      </c>
      <c r="O570" t="n">
        <v>0</v>
      </c>
      <c r="P570" t="n">
        <v>0</v>
      </c>
      <c r="Q570" t="n">
        <v>0</v>
      </c>
      <c r="R570" s="2" t="inlineStr"/>
    </row>
    <row r="571" ht="15" customHeight="1">
      <c r="A571" t="inlineStr">
        <is>
          <t>A 24566-2025</t>
        </is>
      </c>
      <c r="B571" s="1" t="n">
        <v>45798</v>
      </c>
      <c r="C571" s="1" t="n">
        <v>46192</v>
      </c>
      <c r="D571" t="inlineStr">
        <is>
          <t>SÖDERMANLANDS LÄN</t>
        </is>
      </c>
      <c r="E571" t="inlineStr">
        <is>
          <t>KATRINEHOLM</t>
        </is>
      </c>
      <c r="G571" t="n">
        <v>6.3</v>
      </c>
      <c r="H571" t="n">
        <v>0</v>
      </c>
      <c r="I571" t="n">
        <v>0</v>
      </c>
      <c r="J571" t="n">
        <v>0</v>
      </c>
      <c r="K571" t="n">
        <v>0</v>
      </c>
      <c r="L571" t="n">
        <v>0</v>
      </c>
      <c r="M571" t="n">
        <v>0</v>
      </c>
      <c r="N571" t="n">
        <v>0</v>
      </c>
      <c r="O571" t="n">
        <v>0</v>
      </c>
      <c r="P571" t="n">
        <v>0</v>
      </c>
      <c r="Q571" t="n">
        <v>0</v>
      </c>
      <c r="R571" s="2" t="inlineStr"/>
    </row>
    <row r="572" ht="15" customHeight="1">
      <c r="A572" t="inlineStr">
        <is>
          <t>A 48398-2022</t>
        </is>
      </c>
      <c r="B572" s="1" t="n">
        <v>44858</v>
      </c>
      <c r="C572" s="1" t="n">
        <v>46192</v>
      </c>
      <c r="D572" t="inlineStr">
        <is>
          <t>SÖDERMANLANDS LÄN</t>
        </is>
      </c>
      <c r="E572" t="inlineStr">
        <is>
          <t>KATRINEHOLM</t>
        </is>
      </c>
      <c r="G572" t="n">
        <v>1.9</v>
      </c>
      <c r="H572" t="n">
        <v>0</v>
      </c>
      <c r="I572" t="n">
        <v>0</v>
      </c>
      <c r="J572" t="n">
        <v>0</v>
      </c>
      <c r="K572" t="n">
        <v>0</v>
      </c>
      <c r="L572" t="n">
        <v>0</v>
      </c>
      <c r="M572" t="n">
        <v>0</v>
      </c>
      <c r="N572" t="n">
        <v>0</v>
      </c>
      <c r="O572" t="n">
        <v>0</v>
      </c>
      <c r="P572" t="n">
        <v>0</v>
      </c>
      <c r="Q572" t="n">
        <v>0</v>
      </c>
      <c r="R572" s="2" t="inlineStr"/>
    </row>
    <row r="573" ht="15" customHeight="1">
      <c r="A573" t="inlineStr">
        <is>
          <t>A 15945-2024</t>
        </is>
      </c>
      <c r="B573" s="1" t="n">
        <v>45405</v>
      </c>
      <c r="C573" s="1" t="n">
        <v>46192</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56086-2023</t>
        </is>
      </c>
      <c r="B574" s="1" t="n">
        <v>45240</v>
      </c>
      <c r="C574" s="1" t="n">
        <v>46192</v>
      </c>
      <c r="D574" t="inlineStr">
        <is>
          <t>SÖDERMANLANDS LÄN</t>
        </is>
      </c>
      <c r="E574" t="inlineStr">
        <is>
          <t>KATRINEHOLM</t>
        </is>
      </c>
      <c r="F574" t="inlineStr">
        <is>
          <t>Kyrkan</t>
        </is>
      </c>
      <c r="G574" t="n">
        <v>17</v>
      </c>
      <c r="H574" t="n">
        <v>0</v>
      </c>
      <c r="I574" t="n">
        <v>0</v>
      </c>
      <c r="J574" t="n">
        <v>0</v>
      </c>
      <c r="K574" t="n">
        <v>0</v>
      </c>
      <c r="L574" t="n">
        <v>0</v>
      </c>
      <c r="M574" t="n">
        <v>0</v>
      </c>
      <c r="N574" t="n">
        <v>0</v>
      </c>
      <c r="O574" t="n">
        <v>0</v>
      </c>
      <c r="P574" t="n">
        <v>0</v>
      </c>
      <c r="Q574" t="n">
        <v>0</v>
      </c>
      <c r="R574" s="2" t="inlineStr"/>
    </row>
    <row r="575" ht="15" customHeight="1">
      <c r="A575" t="inlineStr">
        <is>
          <t>A 15191-2026</t>
        </is>
      </c>
      <c r="B575" s="1" t="n">
        <v>46105</v>
      </c>
      <c r="C575" s="1" t="n">
        <v>46192</v>
      </c>
      <c r="D575" t="inlineStr">
        <is>
          <t>SÖDERMANLANDS LÄN</t>
        </is>
      </c>
      <c r="E575" t="inlineStr">
        <is>
          <t>KATRINEHOLM</t>
        </is>
      </c>
      <c r="G575" t="n">
        <v>3.6</v>
      </c>
      <c r="H575" t="n">
        <v>0</v>
      </c>
      <c r="I575" t="n">
        <v>0</v>
      </c>
      <c r="J575" t="n">
        <v>0</v>
      </c>
      <c r="K575" t="n">
        <v>0</v>
      </c>
      <c r="L575" t="n">
        <v>0</v>
      </c>
      <c r="M575" t="n">
        <v>0</v>
      </c>
      <c r="N575" t="n">
        <v>0</v>
      </c>
      <c r="O575" t="n">
        <v>0</v>
      </c>
      <c r="P575" t="n">
        <v>0</v>
      </c>
      <c r="Q575" t="n">
        <v>0</v>
      </c>
      <c r="R575" s="2" t="inlineStr"/>
    </row>
    <row r="576" ht="15" customHeight="1">
      <c r="A576" t="inlineStr">
        <is>
          <t>A 24719-2025</t>
        </is>
      </c>
      <c r="B576" s="1" t="n">
        <v>45799</v>
      </c>
      <c r="C576" s="1" t="n">
        <v>46192</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24717-2025</t>
        </is>
      </c>
      <c r="B577" s="1" t="n">
        <v>45799</v>
      </c>
      <c r="C577" s="1" t="n">
        <v>46192</v>
      </c>
      <c r="D577" t="inlineStr">
        <is>
          <t>SÖDERMANLANDS LÄN</t>
        </is>
      </c>
      <c r="E577" t="inlineStr">
        <is>
          <t>KATRINEHOLM</t>
        </is>
      </c>
      <c r="G577" t="n">
        <v>24.5</v>
      </c>
      <c r="H577" t="n">
        <v>0</v>
      </c>
      <c r="I577" t="n">
        <v>0</v>
      </c>
      <c r="J577" t="n">
        <v>0</v>
      </c>
      <c r="K577" t="n">
        <v>0</v>
      </c>
      <c r="L577" t="n">
        <v>0</v>
      </c>
      <c r="M577" t="n">
        <v>0</v>
      </c>
      <c r="N577" t="n">
        <v>0</v>
      </c>
      <c r="O577" t="n">
        <v>0</v>
      </c>
      <c r="P577" t="n">
        <v>0</v>
      </c>
      <c r="Q577" t="n">
        <v>0</v>
      </c>
      <c r="R577" s="2" t="inlineStr"/>
    </row>
    <row r="578" ht="15" customHeight="1">
      <c r="A578" t="inlineStr">
        <is>
          <t>A 21863-2026</t>
        </is>
      </c>
      <c r="B578" s="1" t="n">
        <v>46150</v>
      </c>
      <c r="C578" s="1" t="n">
        <v>46192</v>
      </c>
      <c r="D578" t="inlineStr">
        <is>
          <t>SÖDERMANLANDS LÄN</t>
        </is>
      </c>
      <c r="E578" t="inlineStr">
        <is>
          <t>KATRINEHOLM</t>
        </is>
      </c>
      <c r="G578" t="n">
        <v>6.8</v>
      </c>
      <c r="H578" t="n">
        <v>0</v>
      </c>
      <c r="I578" t="n">
        <v>0</v>
      </c>
      <c r="J578" t="n">
        <v>0</v>
      </c>
      <c r="K578" t="n">
        <v>0</v>
      </c>
      <c r="L578" t="n">
        <v>0</v>
      </c>
      <c r="M578" t="n">
        <v>0</v>
      </c>
      <c r="N578" t="n">
        <v>0</v>
      </c>
      <c r="O578" t="n">
        <v>0</v>
      </c>
      <c r="P578" t="n">
        <v>0</v>
      </c>
      <c r="Q578" t="n">
        <v>0</v>
      </c>
      <c r="R578" s="2" t="inlineStr"/>
    </row>
    <row r="579" ht="15" customHeight="1">
      <c r="A579" t="inlineStr">
        <is>
          <t>A 16113-2026</t>
        </is>
      </c>
      <c r="B579" s="1" t="n">
        <v>46108</v>
      </c>
      <c r="C579" s="1" t="n">
        <v>46192</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8475-2023</t>
        </is>
      </c>
      <c r="B580" s="1" t="n">
        <v>44977</v>
      </c>
      <c r="C580" s="1" t="n">
        <v>46192</v>
      </c>
      <c r="D580" t="inlineStr">
        <is>
          <t>SÖDERMANLANDS LÄN</t>
        </is>
      </c>
      <c r="E580" t="inlineStr">
        <is>
          <t>KATRINEHOLM</t>
        </is>
      </c>
      <c r="F580" t="inlineStr">
        <is>
          <t>Allmännings- och besparingsskogar</t>
        </is>
      </c>
      <c r="G580" t="n">
        <v>8.1</v>
      </c>
      <c r="H580" t="n">
        <v>0</v>
      </c>
      <c r="I580" t="n">
        <v>0</v>
      </c>
      <c r="J580" t="n">
        <v>0</v>
      </c>
      <c r="K580" t="n">
        <v>0</v>
      </c>
      <c r="L580" t="n">
        <v>0</v>
      </c>
      <c r="M580" t="n">
        <v>0</v>
      </c>
      <c r="N580" t="n">
        <v>0</v>
      </c>
      <c r="O580" t="n">
        <v>0</v>
      </c>
      <c r="P580" t="n">
        <v>0</v>
      </c>
      <c r="Q580" t="n">
        <v>0</v>
      </c>
      <c r="R580" s="2" t="inlineStr"/>
    </row>
    <row r="581" ht="15" customHeight="1">
      <c r="A581" t="inlineStr">
        <is>
          <t>A 8518-2023</t>
        </is>
      </c>
      <c r="B581" s="1" t="n">
        <v>44977</v>
      </c>
      <c r="C581" s="1" t="n">
        <v>46192</v>
      </c>
      <c r="D581" t="inlineStr">
        <is>
          <t>SÖDERMANLANDS LÄN</t>
        </is>
      </c>
      <c r="E581" t="inlineStr">
        <is>
          <t>KATRINEHOLM</t>
        </is>
      </c>
      <c r="F581" t="inlineStr">
        <is>
          <t>Allmännings- och besparingsskogar</t>
        </is>
      </c>
      <c r="G581" t="n">
        <v>35.3</v>
      </c>
      <c r="H581" t="n">
        <v>0</v>
      </c>
      <c r="I581" t="n">
        <v>0</v>
      </c>
      <c r="J581" t="n">
        <v>0</v>
      </c>
      <c r="K581" t="n">
        <v>0</v>
      </c>
      <c r="L581" t="n">
        <v>0</v>
      </c>
      <c r="M581" t="n">
        <v>0</v>
      </c>
      <c r="N581" t="n">
        <v>0</v>
      </c>
      <c r="O581" t="n">
        <v>0</v>
      </c>
      <c r="P581" t="n">
        <v>0</v>
      </c>
      <c r="Q581" t="n">
        <v>0</v>
      </c>
      <c r="R581" s="2" t="inlineStr"/>
    </row>
    <row r="582" ht="15" customHeight="1">
      <c r="A582" t="inlineStr">
        <is>
          <t>A 15819-2026</t>
        </is>
      </c>
      <c r="B582" s="1" t="n">
        <v>46107</v>
      </c>
      <c r="C582" s="1" t="n">
        <v>46192</v>
      </c>
      <c r="D582" t="inlineStr">
        <is>
          <t>SÖDERMANLANDS LÄN</t>
        </is>
      </c>
      <c r="E582" t="inlineStr">
        <is>
          <t>KATRINEHOLM</t>
        </is>
      </c>
      <c r="G582" t="n">
        <v>2</v>
      </c>
      <c r="H582" t="n">
        <v>0</v>
      </c>
      <c r="I582" t="n">
        <v>0</v>
      </c>
      <c r="J582" t="n">
        <v>0</v>
      </c>
      <c r="K582" t="n">
        <v>0</v>
      </c>
      <c r="L582" t="n">
        <v>0</v>
      </c>
      <c r="M582" t="n">
        <v>0</v>
      </c>
      <c r="N582" t="n">
        <v>0</v>
      </c>
      <c r="O582" t="n">
        <v>0</v>
      </c>
      <c r="P582" t="n">
        <v>0</v>
      </c>
      <c r="Q582" t="n">
        <v>0</v>
      </c>
      <c r="R582" s="2" t="inlineStr"/>
    </row>
    <row r="583" ht="15" customHeight="1">
      <c r="A583" t="inlineStr">
        <is>
          <t>A 46670-2021</t>
        </is>
      </c>
      <c r="B583" s="1" t="n">
        <v>44445</v>
      </c>
      <c r="C583" s="1" t="n">
        <v>46192</v>
      </c>
      <c r="D583" t="inlineStr">
        <is>
          <t>SÖDERMANLANDS LÄN</t>
        </is>
      </c>
      <c r="E583" t="inlineStr">
        <is>
          <t>KATRINEHOLM</t>
        </is>
      </c>
      <c r="G583" t="n">
        <v>4.4</v>
      </c>
      <c r="H583" t="n">
        <v>0</v>
      </c>
      <c r="I583" t="n">
        <v>0</v>
      </c>
      <c r="J583" t="n">
        <v>0</v>
      </c>
      <c r="K583" t="n">
        <v>0</v>
      </c>
      <c r="L583" t="n">
        <v>0</v>
      </c>
      <c r="M583" t="n">
        <v>0</v>
      </c>
      <c r="N583" t="n">
        <v>0</v>
      </c>
      <c r="O583" t="n">
        <v>0</v>
      </c>
      <c r="P583" t="n">
        <v>0</v>
      </c>
      <c r="Q583" t="n">
        <v>0</v>
      </c>
      <c r="R583" s="2" t="inlineStr"/>
    </row>
    <row r="584" ht="15" customHeight="1">
      <c r="A584" t="inlineStr">
        <is>
          <t>A 43513-2023</t>
        </is>
      </c>
      <c r="B584" s="1" t="n">
        <v>45184</v>
      </c>
      <c r="C584" s="1" t="n">
        <v>46192</v>
      </c>
      <c r="D584" t="inlineStr">
        <is>
          <t>SÖDERMANLANDS LÄN</t>
        </is>
      </c>
      <c r="E584" t="inlineStr">
        <is>
          <t>KATRINEHOLM</t>
        </is>
      </c>
      <c r="G584" t="n">
        <v>3.8</v>
      </c>
      <c r="H584" t="n">
        <v>0</v>
      </c>
      <c r="I584" t="n">
        <v>0</v>
      </c>
      <c r="J584" t="n">
        <v>0</v>
      </c>
      <c r="K584" t="n">
        <v>0</v>
      </c>
      <c r="L584" t="n">
        <v>0</v>
      </c>
      <c r="M584" t="n">
        <v>0</v>
      </c>
      <c r="N584" t="n">
        <v>0</v>
      </c>
      <c r="O584" t="n">
        <v>0</v>
      </c>
      <c r="P584" t="n">
        <v>0</v>
      </c>
      <c r="Q584" t="n">
        <v>0</v>
      </c>
      <c r="R584" s="2" t="inlineStr"/>
    </row>
    <row r="585" ht="15" customHeight="1">
      <c r="A585" t="inlineStr">
        <is>
          <t>A 49122-2024</t>
        </is>
      </c>
      <c r="B585" s="1" t="n">
        <v>45594</v>
      </c>
      <c r="C585" s="1" t="n">
        <v>46192</v>
      </c>
      <c r="D585" t="inlineStr">
        <is>
          <t>SÖDERMANLANDS LÄN</t>
        </is>
      </c>
      <c r="E585" t="inlineStr">
        <is>
          <t>KATRINEHOLM</t>
        </is>
      </c>
      <c r="G585" t="n">
        <v>19.4</v>
      </c>
      <c r="H585" t="n">
        <v>0</v>
      </c>
      <c r="I585" t="n">
        <v>0</v>
      </c>
      <c r="J585" t="n">
        <v>0</v>
      </c>
      <c r="K585" t="n">
        <v>0</v>
      </c>
      <c r="L585" t="n">
        <v>0</v>
      </c>
      <c r="M585" t="n">
        <v>0</v>
      </c>
      <c r="N585" t="n">
        <v>0</v>
      </c>
      <c r="O585" t="n">
        <v>0</v>
      </c>
      <c r="P585" t="n">
        <v>0</v>
      </c>
      <c r="Q585" t="n">
        <v>0</v>
      </c>
      <c r="R585" s="2" t="inlineStr"/>
    </row>
    <row r="586" ht="15" customHeight="1">
      <c r="A586" t="inlineStr">
        <is>
          <t>A 16432-2026</t>
        </is>
      </c>
      <c r="B586" s="1" t="n">
        <v>46111</v>
      </c>
      <c r="C586" s="1" t="n">
        <v>46192</v>
      </c>
      <c r="D586" t="inlineStr">
        <is>
          <t>SÖDERMANLANDS LÄN</t>
        </is>
      </c>
      <c r="E586" t="inlineStr">
        <is>
          <t>KATRINEHOLM</t>
        </is>
      </c>
      <c r="G586" t="n">
        <v>2.2</v>
      </c>
      <c r="H586" t="n">
        <v>0</v>
      </c>
      <c r="I586" t="n">
        <v>0</v>
      </c>
      <c r="J586" t="n">
        <v>0</v>
      </c>
      <c r="K586" t="n">
        <v>0</v>
      </c>
      <c r="L586" t="n">
        <v>0</v>
      </c>
      <c r="M586" t="n">
        <v>0</v>
      </c>
      <c r="N586" t="n">
        <v>0</v>
      </c>
      <c r="O586" t="n">
        <v>0</v>
      </c>
      <c r="P586" t="n">
        <v>0</v>
      </c>
      <c r="Q586" t="n">
        <v>0</v>
      </c>
      <c r="R586" s="2" t="inlineStr"/>
    </row>
    <row r="587" ht="15" customHeight="1">
      <c r="A587" t="inlineStr">
        <is>
          <t>A 8791-2023</t>
        </is>
      </c>
      <c r="B587" s="1" t="n">
        <v>44978</v>
      </c>
      <c r="C587" s="1" t="n">
        <v>46192</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55825-2022</t>
        </is>
      </c>
      <c r="B588" s="1" t="n">
        <v>44886</v>
      </c>
      <c r="C588" s="1" t="n">
        <v>46192</v>
      </c>
      <c r="D588" t="inlineStr">
        <is>
          <t>SÖDERMANLANDS LÄN</t>
        </is>
      </c>
      <c r="E588" t="inlineStr">
        <is>
          <t>KATRINEHOLM</t>
        </is>
      </c>
      <c r="G588" t="n">
        <v>1.3</v>
      </c>
      <c r="H588" t="n">
        <v>0</v>
      </c>
      <c r="I588" t="n">
        <v>0</v>
      </c>
      <c r="J588" t="n">
        <v>0</v>
      </c>
      <c r="K588" t="n">
        <v>0</v>
      </c>
      <c r="L588" t="n">
        <v>0</v>
      </c>
      <c r="M588" t="n">
        <v>0</v>
      </c>
      <c r="N588" t="n">
        <v>0</v>
      </c>
      <c r="O588" t="n">
        <v>0</v>
      </c>
      <c r="P588" t="n">
        <v>0</v>
      </c>
      <c r="Q588" t="n">
        <v>0</v>
      </c>
      <c r="R588" s="2" t="inlineStr"/>
    </row>
    <row r="589" ht="15" customHeight="1">
      <c r="A589" t="inlineStr">
        <is>
          <t>A 62954-2023</t>
        </is>
      </c>
      <c r="B589" s="1" t="n">
        <v>45272</v>
      </c>
      <c r="C589" s="1" t="n">
        <v>46192</v>
      </c>
      <c r="D589" t="inlineStr">
        <is>
          <t>SÖDERMANLANDS LÄN</t>
        </is>
      </c>
      <c r="E589" t="inlineStr">
        <is>
          <t>KATRINEHOLM</t>
        </is>
      </c>
      <c r="G589" t="n">
        <v>2.3</v>
      </c>
      <c r="H589" t="n">
        <v>0</v>
      </c>
      <c r="I589" t="n">
        <v>0</v>
      </c>
      <c r="J589" t="n">
        <v>0</v>
      </c>
      <c r="K589" t="n">
        <v>0</v>
      </c>
      <c r="L589" t="n">
        <v>0</v>
      </c>
      <c r="M589" t="n">
        <v>0</v>
      </c>
      <c r="N589" t="n">
        <v>0</v>
      </c>
      <c r="O589" t="n">
        <v>0</v>
      </c>
      <c r="P589" t="n">
        <v>0</v>
      </c>
      <c r="Q589" t="n">
        <v>0</v>
      </c>
      <c r="R589" s="2" t="inlineStr"/>
    </row>
    <row r="590" ht="15" customHeight="1">
      <c r="A590" t="inlineStr">
        <is>
          <t>A 27534-2025</t>
        </is>
      </c>
      <c r="B590" s="1" t="n">
        <v>45813</v>
      </c>
      <c r="C590" s="1" t="n">
        <v>46192</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7191-2023</t>
        </is>
      </c>
      <c r="B591" s="1" t="n">
        <v>44965</v>
      </c>
      <c r="C591" s="1" t="n">
        <v>46192</v>
      </c>
      <c r="D591" t="inlineStr">
        <is>
          <t>SÖDERMANLANDS LÄN</t>
        </is>
      </c>
      <c r="E591" t="inlineStr">
        <is>
          <t>KATRINEHOLM</t>
        </is>
      </c>
      <c r="G591" t="n">
        <v>14.1</v>
      </c>
      <c r="H591" t="n">
        <v>0</v>
      </c>
      <c r="I591" t="n">
        <v>0</v>
      </c>
      <c r="J591" t="n">
        <v>0</v>
      </c>
      <c r="K591" t="n">
        <v>0</v>
      </c>
      <c r="L591" t="n">
        <v>0</v>
      </c>
      <c r="M591" t="n">
        <v>0</v>
      </c>
      <c r="N591" t="n">
        <v>0</v>
      </c>
      <c r="O591" t="n">
        <v>0</v>
      </c>
      <c r="P591" t="n">
        <v>0</v>
      </c>
      <c r="Q591" t="n">
        <v>0</v>
      </c>
      <c r="R591" s="2" t="inlineStr"/>
    </row>
    <row r="592" ht="15" customHeight="1">
      <c r="A592" t="inlineStr">
        <is>
          <t>A 27636-2025</t>
        </is>
      </c>
      <c r="B592" s="1" t="n">
        <v>45813</v>
      </c>
      <c r="C592" s="1" t="n">
        <v>46192</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37834-2023</t>
        </is>
      </c>
      <c r="B593" s="1" t="n">
        <v>45160</v>
      </c>
      <c r="C593" s="1" t="n">
        <v>46192</v>
      </c>
      <c r="D593" t="inlineStr">
        <is>
          <t>SÖDERMANLANDS LÄN</t>
        </is>
      </c>
      <c r="E593" t="inlineStr">
        <is>
          <t>KATRINEHOLM</t>
        </is>
      </c>
      <c r="F593" t="inlineStr">
        <is>
          <t>Kyrkan</t>
        </is>
      </c>
      <c r="G593" t="n">
        <v>2.8</v>
      </c>
      <c r="H593" t="n">
        <v>0</v>
      </c>
      <c r="I593" t="n">
        <v>0</v>
      </c>
      <c r="J593" t="n">
        <v>0</v>
      </c>
      <c r="K593" t="n">
        <v>0</v>
      </c>
      <c r="L593" t="n">
        <v>0</v>
      </c>
      <c r="M593" t="n">
        <v>0</v>
      </c>
      <c r="N593" t="n">
        <v>0</v>
      </c>
      <c r="O593" t="n">
        <v>0</v>
      </c>
      <c r="P593" t="n">
        <v>0</v>
      </c>
      <c r="Q593" t="n">
        <v>0</v>
      </c>
      <c r="R593" s="2" t="inlineStr"/>
    </row>
    <row r="594" ht="15" customHeight="1">
      <c r="A594" t="inlineStr">
        <is>
          <t>A 36210-2022</t>
        </is>
      </c>
      <c r="B594" s="1" t="n">
        <v>44803</v>
      </c>
      <c r="C594" s="1" t="n">
        <v>46192</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46192</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24600-2025</t>
        </is>
      </c>
      <c r="B596" s="1" t="n">
        <v>45798</v>
      </c>
      <c r="C596" s="1" t="n">
        <v>46192</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8951-2024</t>
        </is>
      </c>
      <c r="B597" s="1" t="n">
        <v>45357</v>
      </c>
      <c r="C597" s="1" t="n">
        <v>46192</v>
      </c>
      <c r="D597" t="inlineStr">
        <is>
          <t>SÖDERMANLANDS LÄN</t>
        </is>
      </c>
      <c r="E597" t="inlineStr">
        <is>
          <t>KATRINEHOLM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35608-2024</t>
        </is>
      </c>
      <c r="B598" s="1" t="n">
        <v>45531</v>
      </c>
      <c r="C598" s="1" t="n">
        <v>46192</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14224-2024</t>
        </is>
      </c>
      <c r="B599" s="1" t="n">
        <v>45393</v>
      </c>
      <c r="C599" s="1" t="n">
        <v>46192</v>
      </c>
      <c r="D599" t="inlineStr">
        <is>
          <t>SÖDERMANLANDS LÄN</t>
        </is>
      </c>
      <c r="E599" t="inlineStr">
        <is>
          <t>KATRINEHOLM</t>
        </is>
      </c>
      <c r="F599" t="inlineStr">
        <is>
          <t>Sveaskog</t>
        </is>
      </c>
      <c r="G599" t="n">
        <v>7.6</v>
      </c>
      <c r="H599" t="n">
        <v>0</v>
      </c>
      <c r="I599" t="n">
        <v>0</v>
      </c>
      <c r="J599" t="n">
        <v>0</v>
      </c>
      <c r="K599" t="n">
        <v>0</v>
      </c>
      <c r="L599" t="n">
        <v>0</v>
      </c>
      <c r="M599" t="n">
        <v>0</v>
      </c>
      <c r="N599" t="n">
        <v>0</v>
      </c>
      <c r="O599" t="n">
        <v>0</v>
      </c>
      <c r="P599" t="n">
        <v>0</v>
      </c>
      <c r="Q599" t="n">
        <v>0</v>
      </c>
      <c r="R599" s="2" t="inlineStr"/>
    </row>
    <row r="600" ht="15" customHeight="1">
      <c r="A600" t="inlineStr">
        <is>
          <t>A 44989-2022</t>
        </is>
      </c>
      <c r="B600" s="1" t="n">
        <v>44840</v>
      </c>
      <c r="C600" s="1" t="n">
        <v>46192</v>
      </c>
      <c r="D600" t="inlineStr">
        <is>
          <t>SÖDERMANLANDS LÄN</t>
        </is>
      </c>
      <c r="E600" t="inlineStr">
        <is>
          <t>KATRINEHOLM</t>
        </is>
      </c>
      <c r="G600" t="n">
        <v>6</v>
      </c>
      <c r="H600" t="n">
        <v>0</v>
      </c>
      <c r="I600" t="n">
        <v>0</v>
      </c>
      <c r="J600" t="n">
        <v>0</v>
      </c>
      <c r="K600" t="n">
        <v>0</v>
      </c>
      <c r="L600" t="n">
        <v>0</v>
      </c>
      <c r="M600" t="n">
        <v>0</v>
      </c>
      <c r="N600" t="n">
        <v>0</v>
      </c>
      <c r="O600" t="n">
        <v>0</v>
      </c>
      <c r="P600" t="n">
        <v>0</v>
      </c>
      <c r="Q600" t="n">
        <v>0</v>
      </c>
      <c r="R600" s="2" t="inlineStr"/>
    </row>
    <row r="601" ht="15" customHeight="1">
      <c r="A601" t="inlineStr">
        <is>
          <t>A 57263-2022</t>
        </is>
      </c>
      <c r="B601" s="1" t="n">
        <v>44895</v>
      </c>
      <c r="C601" s="1" t="n">
        <v>46192</v>
      </c>
      <c r="D601" t="inlineStr">
        <is>
          <t>SÖDERMANLANDS LÄN</t>
        </is>
      </c>
      <c r="E601" t="inlineStr">
        <is>
          <t>KATRINEHOLM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49218-2023</t>
        </is>
      </c>
      <c r="B602" s="1" t="n">
        <v>45205</v>
      </c>
      <c r="C602" s="1" t="n">
        <v>46192</v>
      </c>
      <c r="D602" t="inlineStr">
        <is>
          <t>SÖDERMANLANDS LÄN</t>
        </is>
      </c>
      <c r="E602" t="inlineStr">
        <is>
          <t>KATRINEHOLM</t>
        </is>
      </c>
      <c r="G602" t="n">
        <v>0.6</v>
      </c>
      <c r="H602" t="n">
        <v>0</v>
      </c>
      <c r="I602" t="n">
        <v>0</v>
      </c>
      <c r="J602" t="n">
        <v>0</v>
      </c>
      <c r="K602" t="n">
        <v>0</v>
      </c>
      <c r="L602" t="n">
        <v>0</v>
      </c>
      <c r="M602" t="n">
        <v>0</v>
      </c>
      <c r="N602" t="n">
        <v>0</v>
      </c>
      <c r="O602" t="n">
        <v>0</v>
      </c>
      <c r="P602" t="n">
        <v>0</v>
      </c>
      <c r="Q602" t="n">
        <v>0</v>
      </c>
      <c r="R602" s="2" t="inlineStr"/>
    </row>
    <row r="603" ht="15" customHeight="1">
      <c r="A603" t="inlineStr">
        <is>
          <t>A 29189-2025</t>
        </is>
      </c>
      <c r="B603" s="1" t="n">
        <v>45822</v>
      </c>
      <c r="C603" s="1" t="n">
        <v>46192</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4679-2023</t>
        </is>
      </c>
      <c r="B604" s="1" t="n">
        <v>44957</v>
      </c>
      <c r="C604" s="1" t="n">
        <v>46192</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49743-2025</t>
        </is>
      </c>
      <c r="B605" s="1" t="n">
        <v>45940</v>
      </c>
      <c r="C605" s="1" t="n">
        <v>46192</v>
      </c>
      <c r="D605" t="inlineStr">
        <is>
          <t>SÖDERMANLANDS LÄN</t>
        </is>
      </c>
      <c r="E605" t="inlineStr">
        <is>
          <t>KATRINEHOLM</t>
        </is>
      </c>
      <c r="G605" t="n">
        <v>1.1</v>
      </c>
      <c r="H605" t="n">
        <v>0</v>
      </c>
      <c r="I605" t="n">
        <v>0</v>
      </c>
      <c r="J605" t="n">
        <v>0</v>
      </c>
      <c r="K605" t="n">
        <v>0</v>
      </c>
      <c r="L605" t="n">
        <v>0</v>
      </c>
      <c r="M605" t="n">
        <v>0</v>
      </c>
      <c r="N605" t="n">
        <v>0</v>
      </c>
      <c r="O605" t="n">
        <v>0</v>
      </c>
      <c r="P605" t="n">
        <v>0</v>
      </c>
      <c r="Q605" t="n">
        <v>0</v>
      </c>
      <c r="R605" s="2" t="inlineStr"/>
    </row>
    <row r="606" ht="15" customHeight="1">
      <c r="A606" t="inlineStr">
        <is>
          <t>A 2320-2023</t>
        </is>
      </c>
      <c r="B606" s="1" t="n">
        <v>44942</v>
      </c>
      <c r="C606" s="1" t="n">
        <v>46192</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2325-2023</t>
        </is>
      </c>
      <c r="B607" s="1" t="n">
        <v>44942</v>
      </c>
      <c r="C607" s="1" t="n">
        <v>46192</v>
      </c>
      <c r="D607" t="inlineStr">
        <is>
          <t>SÖDERMANLANDS LÄN</t>
        </is>
      </c>
      <c r="E607" t="inlineStr">
        <is>
          <t>KATRINEHOLM</t>
        </is>
      </c>
      <c r="G607" t="n">
        <v>5.6</v>
      </c>
      <c r="H607" t="n">
        <v>0</v>
      </c>
      <c r="I607" t="n">
        <v>0</v>
      </c>
      <c r="J607" t="n">
        <v>0</v>
      </c>
      <c r="K607" t="n">
        <v>0</v>
      </c>
      <c r="L607" t="n">
        <v>0</v>
      </c>
      <c r="M607" t="n">
        <v>0</v>
      </c>
      <c r="N607" t="n">
        <v>0</v>
      </c>
      <c r="O607" t="n">
        <v>0</v>
      </c>
      <c r="P607" t="n">
        <v>0</v>
      </c>
      <c r="Q607" t="n">
        <v>0</v>
      </c>
      <c r="R607" s="2" t="inlineStr"/>
    </row>
    <row r="608" ht="15" customHeight="1">
      <c r="A608" t="inlineStr">
        <is>
          <t>A 23753-2026</t>
        </is>
      </c>
      <c r="B608" s="1" t="n">
        <v>46164</v>
      </c>
      <c r="C608" s="1" t="n">
        <v>46192</v>
      </c>
      <c r="D608" t="inlineStr">
        <is>
          <t>SÖDERMANLANDS LÄN</t>
        </is>
      </c>
      <c r="E608" t="inlineStr">
        <is>
          <t>KATRINEHOLM</t>
        </is>
      </c>
      <c r="G608" t="n">
        <v>24.4</v>
      </c>
      <c r="H608" t="n">
        <v>0</v>
      </c>
      <c r="I608" t="n">
        <v>0</v>
      </c>
      <c r="J608" t="n">
        <v>0</v>
      </c>
      <c r="K608" t="n">
        <v>0</v>
      </c>
      <c r="L608" t="n">
        <v>0</v>
      </c>
      <c r="M608" t="n">
        <v>0</v>
      </c>
      <c r="N608" t="n">
        <v>0</v>
      </c>
      <c r="O608" t="n">
        <v>0</v>
      </c>
      <c r="P608" t="n">
        <v>0</v>
      </c>
      <c r="Q608" t="n">
        <v>0</v>
      </c>
      <c r="R608" s="2" t="inlineStr"/>
    </row>
    <row r="609" ht="15" customHeight="1">
      <c r="A609" t="inlineStr">
        <is>
          <t>A 55732-2023</t>
        </is>
      </c>
      <c r="B609" s="1" t="n">
        <v>45239</v>
      </c>
      <c r="C609" s="1" t="n">
        <v>46192</v>
      </c>
      <c r="D609" t="inlineStr">
        <is>
          <t>SÖDERMANLANDS LÄN</t>
        </is>
      </c>
      <c r="E609" t="inlineStr">
        <is>
          <t>KATRINEHOLM</t>
        </is>
      </c>
      <c r="G609" t="n">
        <v>0.9</v>
      </c>
      <c r="H609" t="n">
        <v>0</v>
      </c>
      <c r="I609" t="n">
        <v>0</v>
      </c>
      <c r="J609" t="n">
        <v>0</v>
      </c>
      <c r="K609" t="n">
        <v>0</v>
      </c>
      <c r="L609" t="n">
        <v>0</v>
      </c>
      <c r="M609" t="n">
        <v>0</v>
      </c>
      <c r="N609" t="n">
        <v>0</v>
      </c>
      <c r="O609" t="n">
        <v>0</v>
      </c>
      <c r="P609" t="n">
        <v>0</v>
      </c>
      <c r="Q609" t="n">
        <v>0</v>
      </c>
      <c r="R609" s="2" t="inlineStr"/>
    </row>
    <row r="610" ht="15" customHeight="1">
      <c r="A610" t="inlineStr">
        <is>
          <t>A 23806-2026</t>
        </is>
      </c>
      <c r="B610" s="1" t="n">
        <v>46164</v>
      </c>
      <c r="C610" s="1" t="n">
        <v>46192</v>
      </c>
      <c r="D610" t="inlineStr">
        <is>
          <t>SÖDERMANLANDS LÄN</t>
        </is>
      </c>
      <c r="E610" t="inlineStr">
        <is>
          <t>KATRINEHOLM</t>
        </is>
      </c>
      <c r="G610" t="n">
        <v>0.5</v>
      </c>
      <c r="H610" t="n">
        <v>0</v>
      </c>
      <c r="I610" t="n">
        <v>0</v>
      </c>
      <c r="J610" t="n">
        <v>0</v>
      </c>
      <c r="K610" t="n">
        <v>0</v>
      </c>
      <c r="L610" t="n">
        <v>0</v>
      </c>
      <c r="M610" t="n">
        <v>0</v>
      </c>
      <c r="N610" t="n">
        <v>0</v>
      </c>
      <c r="O610" t="n">
        <v>0</v>
      </c>
      <c r="P610" t="n">
        <v>0</v>
      </c>
      <c r="Q610" t="n">
        <v>0</v>
      </c>
      <c r="R610" s="2" t="inlineStr"/>
    </row>
    <row r="611" ht="15" customHeight="1">
      <c r="A611" t="inlineStr">
        <is>
          <t>A 58473-2021</t>
        </is>
      </c>
      <c r="B611" s="1" t="n">
        <v>44488</v>
      </c>
      <c r="C611" s="1" t="n">
        <v>46192</v>
      </c>
      <c r="D611" t="inlineStr">
        <is>
          <t>SÖDERMANLANDS LÄN</t>
        </is>
      </c>
      <c r="E611" t="inlineStr">
        <is>
          <t>KATRINEHOLM</t>
        </is>
      </c>
      <c r="G611" t="n">
        <v>0.5</v>
      </c>
      <c r="H611" t="n">
        <v>0</v>
      </c>
      <c r="I611" t="n">
        <v>0</v>
      </c>
      <c r="J611" t="n">
        <v>0</v>
      </c>
      <c r="K611" t="n">
        <v>0</v>
      </c>
      <c r="L611" t="n">
        <v>0</v>
      </c>
      <c r="M611" t="n">
        <v>0</v>
      </c>
      <c r="N611" t="n">
        <v>0</v>
      </c>
      <c r="O611" t="n">
        <v>0</v>
      </c>
      <c r="P611" t="n">
        <v>0</v>
      </c>
      <c r="Q611" t="n">
        <v>0</v>
      </c>
      <c r="R611" s="2" t="inlineStr"/>
    </row>
    <row r="612" ht="15" customHeight="1">
      <c r="A612" t="inlineStr">
        <is>
          <t>A 31990-2025</t>
        </is>
      </c>
      <c r="B612" s="1" t="n">
        <v>45835</v>
      </c>
      <c r="C612" s="1" t="n">
        <v>46192</v>
      </c>
      <c r="D612" t="inlineStr">
        <is>
          <t>SÖDERMANLANDS LÄN</t>
        </is>
      </c>
      <c r="E612" t="inlineStr">
        <is>
          <t>KATRINEHOLM</t>
        </is>
      </c>
      <c r="G612" t="n">
        <v>0.5</v>
      </c>
      <c r="H612" t="n">
        <v>0</v>
      </c>
      <c r="I612" t="n">
        <v>0</v>
      </c>
      <c r="J612" t="n">
        <v>0</v>
      </c>
      <c r="K612" t="n">
        <v>0</v>
      </c>
      <c r="L612" t="n">
        <v>0</v>
      </c>
      <c r="M612" t="n">
        <v>0</v>
      </c>
      <c r="N612" t="n">
        <v>0</v>
      </c>
      <c r="O612" t="n">
        <v>0</v>
      </c>
      <c r="P612" t="n">
        <v>0</v>
      </c>
      <c r="Q612" t="n">
        <v>0</v>
      </c>
      <c r="R612" s="2" t="inlineStr"/>
    </row>
    <row r="613" ht="15" customHeight="1">
      <c r="A613" t="inlineStr">
        <is>
          <t>A 53860-2021</t>
        </is>
      </c>
      <c r="B613" s="1" t="n">
        <v>44467</v>
      </c>
      <c r="C613" s="1" t="n">
        <v>46192</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18383-2026</t>
        </is>
      </c>
      <c r="B614" s="1" t="n">
        <v>46126</v>
      </c>
      <c r="C614" s="1" t="n">
        <v>46192</v>
      </c>
      <c r="D614" t="inlineStr">
        <is>
          <t>SÖDERMANLANDS LÄN</t>
        </is>
      </c>
      <c r="E614" t="inlineStr">
        <is>
          <t>KATRINEHOLM</t>
        </is>
      </c>
      <c r="G614" t="n">
        <v>2.4</v>
      </c>
      <c r="H614" t="n">
        <v>0</v>
      </c>
      <c r="I614" t="n">
        <v>0</v>
      </c>
      <c r="J614" t="n">
        <v>0</v>
      </c>
      <c r="K614" t="n">
        <v>0</v>
      </c>
      <c r="L614" t="n">
        <v>0</v>
      </c>
      <c r="M614" t="n">
        <v>0</v>
      </c>
      <c r="N614" t="n">
        <v>0</v>
      </c>
      <c r="O614" t="n">
        <v>0</v>
      </c>
      <c r="P614" t="n">
        <v>0</v>
      </c>
      <c r="Q614" t="n">
        <v>0</v>
      </c>
      <c r="R614" s="2" t="inlineStr"/>
    </row>
    <row r="615" ht="15" customHeight="1">
      <c r="A615" t="inlineStr">
        <is>
          <t>A 18314-2026</t>
        </is>
      </c>
      <c r="B615" s="1" t="n">
        <v>46126</v>
      </c>
      <c r="C615" s="1" t="n">
        <v>46192</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18306-2026</t>
        </is>
      </c>
      <c r="B616" s="1" t="n">
        <v>46126</v>
      </c>
      <c r="C616" s="1" t="n">
        <v>46192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18300-2026</t>
        </is>
      </c>
      <c r="B617" s="1" t="n">
        <v>46126</v>
      </c>
      <c r="C617" s="1" t="n">
        <v>46192</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18301-2026</t>
        </is>
      </c>
      <c r="B618" s="1" t="n">
        <v>46126</v>
      </c>
      <c r="C618" s="1" t="n">
        <v>46192</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18316-2026</t>
        </is>
      </c>
      <c r="B619" s="1" t="n">
        <v>46126</v>
      </c>
      <c r="C619" s="1" t="n">
        <v>46192</v>
      </c>
      <c r="D619" t="inlineStr">
        <is>
          <t>SÖDERMANLANDS LÄN</t>
        </is>
      </c>
      <c r="E619" t="inlineStr">
        <is>
          <t>KATRINEHOLM</t>
        </is>
      </c>
      <c r="G619" t="n">
        <v>2.8</v>
      </c>
      <c r="H619" t="n">
        <v>0</v>
      </c>
      <c r="I619" t="n">
        <v>0</v>
      </c>
      <c r="J619" t="n">
        <v>0</v>
      </c>
      <c r="K619" t="n">
        <v>0</v>
      </c>
      <c r="L619" t="n">
        <v>0</v>
      </c>
      <c r="M619" t="n">
        <v>0</v>
      </c>
      <c r="N619" t="n">
        <v>0</v>
      </c>
      <c r="O619" t="n">
        <v>0</v>
      </c>
      <c r="P619" t="n">
        <v>0</v>
      </c>
      <c r="Q619" t="n">
        <v>0</v>
      </c>
      <c r="R619" s="2" t="inlineStr"/>
    </row>
    <row r="620" ht="15" customHeight="1">
      <c r="A620" t="inlineStr">
        <is>
          <t>A 22509-2026</t>
        </is>
      </c>
      <c r="B620" s="1" t="n">
        <v>46155</v>
      </c>
      <c r="C620" s="1" t="n">
        <v>46192</v>
      </c>
      <c r="D620" t="inlineStr">
        <is>
          <t>SÖDERMANLANDS LÄN</t>
        </is>
      </c>
      <c r="E620" t="inlineStr">
        <is>
          <t>KATRINEHOLM</t>
        </is>
      </c>
      <c r="G620" t="n">
        <v>0.8</v>
      </c>
      <c r="H620" t="n">
        <v>0</v>
      </c>
      <c r="I620" t="n">
        <v>0</v>
      </c>
      <c r="J620" t="n">
        <v>0</v>
      </c>
      <c r="K620" t="n">
        <v>0</v>
      </c>
      <c r="L620" t="n">
        <v>0</v>
      </c>
      <c r="M620" t="n">
        <v>0</v>
      </c>
      <c r="N620" t="n">
        <v>0</v>
      </c>
      <c r="O620" t="n">
        <v>0</v>
      </c>
      <c r="P620" t="n">
        <v>0</v>
      </c>
      <c r="Q620" t="n">
        <v>0</v>
      </c>
      <c r="R620" s="2" t="inlineStr"/>
    </row>
    <row r="621" ht="15" customHeight="1">
      <c r="A621" t="inlineStr">
        <is>
          <t>A 33577-2025</t>
        </is>
      </c>
      <c r="B621" s="1" t="n">
        <v>45841</v>
      </c>
      <c r="C621" s="1" t="n">
        <v>46192</v>
      </c>
      <c r="D621" t="inlineStr">
        <is>
          <t>SÖDERMANLANDS LÄN</t>
        </is>
      </c>
      <c r="E621" t="inlineStr">
        <is>
          <t>KATRINEHOLM</t>
        </is>
      </c>
      <c r="F621" t="inlineStr">
        <is>
          <t>Holmen skog AB</t>
        </is>
      </c>
      <c r="G621" t="n">
        <v>0.3</v>
      </c>
      <c r="H621" t="n">
        <v>0</v>
      </c>
      <c r="I621" t="n">
        <v>0</v>
      </c>
      <c r="J621" t="n">
        <v>0</v>
      </c>
      <c r="K621" t="n">
        <v>0</v>
      </c>
      <c r="L621" t="n">
        <v>0</v>
      </c>
      <c r="M621" t="n">
        <v>0</v>
      </c>
      <c r="N621" t="n">
        <v>0</v>
      </c>
      <c r="O621" t="n">
        <v>0</v>
      </c>
      <c r="P621" t="n">
        <v>0</v>
      </c>
      <c r="Q621" t="n">
        <v>0</v>
      </c>
      <c r="R621" s="2" t="inlineStr"/>
    </row>
    <row r="622" ht="15" customHeight="1">
      <c r="A622" t="inlineStr">
        <is>
          <t>A 18302-2026</t>
        </is>
      </c>
      <c r="B622" s="1" t="n">
        <v>46126</v>
      </c>
      <c r="C622" s="1" t="n">
        <v>46192</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18308-2026</t>
        </is>
      </c>
      <c r="B623" s="1" t="n">
        <v>46126</v>
      </c>
      <c r="C623" s="1" t="n">
        <v>46192</v>
      </c>
      <c r="D623" t="inlineStr">
        <is>
          <t>SÖDERMANLANDS LÄN</t>
        </is>
      </c>
      <c r="E623" t="inlineStr">
        <is>
          <t>KATRINEHOLM</t>
        </is>
      </c>
      <c r="G623" t="n">
        <v>4.2</v>
      </c>
      <c r="H623" t="n">
        <v>0</v>
      </c>
      <c r="I623" t="n">
        <v>0</v>
      </c>
      <c r="J623" t="n">
        <v>0</v>
      </c>
      <c r="K623" t="n">
        <v>0</v>
      </c>
      <c r="L623" t="n">
        <v>0</v>
      </c>
      <c r="M623" t="n">
        <v>0</v>
      </c>
      <c r="N623" t="n">
        <v>0</v>
      </c>
      <c r="O623" t="n">
        <v>0</v>
      </c>
      <c r="P623" t="n">
        <v>0</v>
      </c>
      <c r="Q623" t="n">
        <v>0</v>
      </c>
      <c r="R623" s="2" t="inlineStr"/>
    </row>
    <row r="624" ht="15" customHeight="1">
      <c r="A624" t="inlineStr">
        <is>
          <t>A 18384-2026</t>
        </is>
      </c>
      <c r="B624" s="1" t="n">
        <v>46126</v>
      </c>
      <c r="C624" s="1" t="n">
        <v>46192</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4662-2023</t>
        </is>
      </c>
      <c r="B625" s="1" t="n">
        <v>44957</v>
      </c>
      <c r="C625" s="1" t="n">
        <v>46192</v>
      </c>
      <c r="D625" t="inlineStr">
        <is>
          <t>SÖDERMANLANDS LÄN</t>
        </is>
      </c>
      <c r="E625" t="inlineStr">
        <is>
          <t>KATRINEHOLM</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6762-2025</t>
        </is>
      </c>
      <c r="B626" s="1" t="n">
        <v>45700</v>
      </c>
      <c r="C626" s="1" t="n">
        <v>46192</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22304-2024</t>
        </is>
      </c>
      <c r="B627" s="1" t="n">
        <v>45446</v>
      </c>
      <c r="C627" s="1" t="n">
        <v>46192</v>
      </c>
      <c r="D627" t="inlineStr">
        <is>
          <t>SÖDERMANLANDS LÄN</t>
        </is>
      </c>
      <c r="E627" t="inlineStr">
        <is>
          <t>KATRINEHOLM</t>
        </is>
      </c>
      <c r="F627" t="inlineStr">
        <is>
          <t>Kommuner</t>
        </is>
      </c>
      <c r="G627" t="n">
        <v>0.7</v>
      </c>
      <c r="H627" t="n">
        <v>0</v>
      </c>
      <c r="I627" t="n">
        <v>0</v>
      </c>
      <c r="J627" t="n">
        <v>0</v>
      </c>
      <c r="K627" t="n">
        <v>0</v>
      </c>
      <c r="L627" t="n">
        <v>0</v>
      </c>
      <c r="M627" t="n">
        <v>0</v>
      </c>
      <c r="N627" t="n">
        <v>0</v>
      </c>
      <c r="O627" t="n">
        <v>0</v>
      </c>
      <c r="P627" t="n">
        <v>0</v>
      </c>
      <c r="Q627" t="n">
        <v>0</v>
      </c>
      <c r="R627" s="2" t="inlineStr"/>
    </row>
    <row r="628" ht="15" customHeight="1">
      <c r="A628" t="inlineStr">
        <is>
          <t>A 13171-2024</t>
        </is>
      </c>
      <c r="B628" s="1" t="n">
        <v>45386</v>
      </c>
      <c r="C628" s="1" t="n">
        <v>46192</v>
      </c>
      <c r="D628" t="inlineStr">
        <is>
          <t>SÖDERMANLANDS LÄN</t>
        </is>
      </c>
      <c r="E628" t="inlineStr">
        <is>
          <t>KATRINEHOLM</t>
        </is>
      </c>
      <c r="G628" t="n">
        <v>1</v>
      </c>
      <c r="H628" t="n">
        <v>0</v>
      </c>
      <c r="I628" t="n">
        <v>0</v>
      </c>
      <c r="J628" t="n">
        <v>0</v>
      </c>
      <c r="K628" t="n">
        <v>0</v>
      </c>
      <c r="L628" t="n">
        <v>0</v>
      </c>
      <c r="M628" t="n">
        <v>0</v>
      </c>
      <c r="N628" t="n">
        <v>0</v>
      </c>
      <c r="O628" t="n">
        <v>0</v>
      </c>
      <c r="P628" t="n">
        <v>0</v>
      </c>
      <c r="Q628" t="n">
        <v>0</v>
      </c>
      <c r="R628" s="2" t="inlineStr"/>
    </row>
    <row r="629" ht="15" customHeight="1">
      <c r="A629" t="inlineStr">
        <is>
          <t>A 20213-2025</t>
        </is>
      </c>
      <c r="B629" s="1" t="n">
        <v>45772</v>
      </c>
      <c r="C629" s="1" t="n">
        <v>46192</v>
      </c>
      <c r="D629" t="inlineStr">
        <is>
          <t>SÖDERMANLANDS LÄN</t>
        </is>
      </c>
      <c r="E629" t="inlineStr">
        <is>
          <t>KATRINEHOLM</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33752-2023</t>
        </is>
      </c>
      <c r="B630" s="1" t="n">
        <v>45120</v>
      </c>
      <c r="C630" s="1" t="n">
        <v>46192</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28652-2024</t>
        </is>
      </c>
      <c r="B631" s="1" t="n">
        <v>45478</v>
      </c>
      <c r="C631" s="1" t="n">
        <v>46192</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9936-2023</t>
        </is>
      </c>
      <c r="B632" s="1" t="n">
        <v>44985</v>
      </c>
      <c r="C632" s="1" t="n">
        <v>46192</v>
      </c>
      <c r="D632" t="inlineStr">
        <is>
          <t>SÖDERMANLANDS LÄN</t>
        </is>
      </c>
      <c r="E632" t="inlineStr">
        <is>
          <t>KATRINEHOLM</t>
        </is>
      </c>
      <c r="G632" t="n">
        <v>0.4</v>
      </c>
      <c r="H632" t="n">
        <v>0</v>
      </c>
      <c r="I632" t="n">
        <v>0</v>
      </c>
      <c r="J632" t="n">
        <v>0</v>
      </c>
      <c r="K632" t="n">
        <v>0</v>
      </c>
      <c r="L632" t="n">
        <v>0</v>
      </c>
      <c r="M632" t="n">
        <v>0</v>
      </c>
      <c r="N632" t="n">
        <v>0</v>
      </c>
      <c r="O632" t="n">
        <v>0</v>
      </c>
      <c r="P632" t="n">
        <v>0</v>
      </c>
      <c r="Q632" t="n">
        <v>0</v>
      </c>
      <c r="R632" s="2" t="inlineStr"/>
    </row>
    <row r="633" ht="15" customHeight="1">
      <c r="A633" t="inlineStr">
        <is>
          <t>A 9192-2023</t>
        </is>
      </c>
      <c r="B633" s="1" t="n">
        <v>44980</v>
      </c>
      <c r="C633" s="1" t="n">
        <v>46192</v>
      </c>
      <c r="D633" t="inlineStr">
        <is>
          <t>SÖDERMANLANDS LÄN</t>
        </is>
      </c>
      <c r="E633" t="inlineStr">
        <is>
          <t>KATRINEHOLM</t>
        </is>
      </c>
      <c r="F633" t="inlineStr">
        <is>
          <t>Övriga Aktiebolag</t>
        </is>
      </c>
      <c r="G633" t="n">
        <v>1.6</v>
      </c>
      <c r="H633" t="n">
        <v>0</v>
      </c>
      <c r="I633" t="n">
        <v>0</v>
      </c>
      <c r="J633" t="n">
        <v>0</v>
      </c>
      <c r="K633" t="n">
        <v>0</v>
      </c>
      <c r="L633" t="n">
        <v>0</v>
      </c>
      <c r="M633" t="n">
        <v>0</v>
      </c>
      <c r="N633" t="n">
        <v>0</v>
      </c>
      <c r="O633" t="n">
        <v>0</v>
      </c>
      <c r="P633" t="n">
        <v>0</v>
      </c>
      <c r="Q633" t="n">
        <v>0</v>
      </c>
      <c r="R633" s="2" t="inlineStr"/>
    </row>
    <row r="634" ht="15" customHeight="1">
      <c r="A634" t="inlineStr">
        <is>
          <t>A 72984-2021</t>
        </is>
      </c>
      <c r="B634" s="1" t="n">
        <v>44549</v>
      </c>
      <c r="C634" s="1" t="n">
        <v>46192</v>
      </c>
      <c r="D634" t="inlineStr">
        <is>
          <t>SÖDERMANLANDS LÄN</t>
        </is>
      </c>
      <c r="E634" t="inlineStr">
        <is>
          <t>KATRINEHOLM</t>
        </is>
      </c>
      <c r="G634" t="n">
        <v>4.9</v>
      </c>
      <c r="H634" t="n">
        <v>0</v>
      </c>
      <c r="I634" t="n">
        <v>0</v>
      </c>
      <c r="J634" t="n">
        <v>0</v>
      </c>
      <c r="K634" t="n">
        <v>0</v>
      </c>
      <c r="L634" t="n">
        <v>0</v>
      </c>
      <c r="M634" t="n">
        <v>0</v>
      </c>
      <c r="N634" t="n">
        <v>0</v>
      </c>
      <c r="O634" t="n">
        <v>0</v>
      </c>
      <c r="P634" t="n">
        <v>0</v>
      </c>
      <c r="Q634" t="n">
        <v>0</v>
      </c>
      <c r="R634" s="2" t="inlineStr"/>
    </row>
    <row r="635" ht="15" customHeight="1">
      <c r="A635" t="inlineStr">
        <is>
          <t>A 35157-2025</t>
        </is>
      </c>
      <c r="B635" s="1" t="n">
        <v>45852</v>
      </c>
      <c r="C635" s="1" t="n">
        <v>46192</v>
      </c>
      <c r="D635" t="inlineStr">
        <is>
          <t>SÖDERMANLANDS LÄN</t>
        </is>
      </c>
      <c r="E635" t="inlineStr">
        <is>
          <t>KATRINEHOLM</t>
        </is>
      </c>
      <c r="G635" t="n">
        <v>3.7</v>
      </c>
      <c r="H635" t="n">
        <v>0</v>
      </c>
      <c r="I635" t="n">
        <v>0</v>
      </c>
      <c r="J635" t="n">
        <v>0</v>
      </c>
      <c r="K635" t="n">
        <v>0</v>
      </c>
      <c r="L635" t="n">
        <v>0</v>
      </c>
      <c r="M635" t="n">
        <v>0</v>
      </c>
      <c r="N635" t="n">
        <v>0</v>
      </c>
      <c r="O635" t="n">
        <v>0</v>
      </c>
      <c r="P635" t="n">
        <v>0</v>
      </c>
      <c r="Q635" t="n">
        <v>0</v>
      </c>
      <c r="R635" s="2" t="inlineStr"/>
    </row>
    <row r="636" ht="15" customHeight="1">
      <c r="A636" t="inlineStr">
        <is>
          <t>A 35084-2025</t>
        </is>
      </c>
      <c r="B636" s="1" t="n">
        <v>45852</v>
      </c>
      <c r="C636" s="1" t="n">
        <v>46192</v>
      </c>
      <c r="D636" t="inlineStr">
        <is>
          <t>SÖDERMANLANDS LÄN</t>
        </is>
      </c>
      <c r="E636" t="inlineStr">
        <is>
          <t>KATRINEHOLM</t>
        </is>
      </c>
      <c r="G636" t="n">
        <v>3.2</v>
      </c>
      <c r="H636" t="n">
        <v>0</v>
      </c>
      <c r="I636" t="n">
        <v>0</v>
      </c>
      <c r="J636" t="n">
        <v>0</v>
      </c>
      <c r="K636" t="n">
        <v>0</v>
      </c>
      <c r="L636" t="n">
        <v>0</v>
      </c>
      <c r="M636" t="n">
        <v>0</v>
      </c>
      <c r="N636" t="n">
        <v>0</v>
      </c>
      <c r="O636" t="n">
        <v>0</v>
      </c>
      <c r="P636" t="n">
        <v>0</v>
      </c>
      <c r="Q636" t="n">
        <v>0</v>
      </c>
      <c r="R636" s="2" t="inlineStr"/>
    </row>
    <row r="637" ht="15" customHeight="1">
      <c r="A637" t="inlineStr">
        <is>
          <t>A 33712-2022</t>
        </is>
      </c>
      <c r="B637" s="1" t="n">
        <v>44789</v>
      </c>
      <c r="C637" s="1" t="n">
        <v>46192</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33717-2022</t>
        </is>
      </c>
      <c r="B638" s="1" t="n">
        <v>44789</v>
      </c>
      <c r="C638" s="1" t="n">
        <v>46192</v>
      </c>
      <c r="D638" t="inlineStr">
        <is>
          <t>SÖDERMANLANDS LÄN</t>
        </is>
      </c>
      <c r="E638" t="inlineStr">
        <is>
          <t>KATRINEHOLM</t>
        </is>
      </c>
      <c r="G638" t="n">
        <v>4.4</v>
      </c>
      <c r="H638" t="n">
        <v>0</v>
      </c>
      <c r="I638" t="n">
        <v>0</v>
      </c>
      <c r="J638" t="n">
        <v>0</v>
      </c>
      <c r="K638" t="n">
        <v>0</v>
      </c>
      <c r="L638" t="n">
        <v>0</v>
      </c>
      <c r="M638" t="n">
        <v>0</v>
      </c>
      <c r="N638" t="n">
        <v>0</v>
      </c>
      <c r="O638" t="n">
        <v>0</v>
      </c>
      <c r="P638" t="n">
        <v>0</v>
      </c>
      <c r="Q638" t="n">
        <v>0</v>
      </c>
      <c r="R638" s="2" t="inlineStr"/>
    </row>
    <row r="639" ht="15" customHeight="1">
      <c r="A639" t="inlineStr">
        <is>
          <t>A 35165-2025</t>
        </is>
      </c>
      <c r="B639" s="1" t="n">
        <v>45852</v>
      </c>
      <c r="C639" s="1" t="n">
        <v>46192</v>
      </c>
      <c r="D639" t="inlineStr">
        <is>
          <t>SÖDERMANLANDS LÄN</t>
        </is>
      </c>
      <c r="E639" t="inlineStr">
        <is>
          <t>KATRINEHOLM</t>
        </is>
      </c>
      <c r="F639" t="inlineStr">
        <is>
          <t>Övriga Aktiebolag</t>
        </is>
      </c>
      <c r="G639" t="n">
        <v>20.7</v>
      </c>
      <c r="H639" t="n">
        <v>0</v>
      </c>
      <c r="I639" t="n">
        <v>0</v>
      </c>
      <c r="J639" t="n">
        <v>0</v>
      </c>
      <c r="K639" t="n">
        <v>0</v>
      </c>
      <c r="L639" t="n">
        <v>0</v>
      </c>
      <c r="M639" t="n">
        <v>0</v>
      </c>
      <c r="N639" t="n">
        <v>0</v>
      </c>
      <c r="O639" t="n">
        <v>0</v>
      </c>
      <c r="P639" t="n">
        <v>0</v>
      </c>
      <c r="Q639" t="n">
        <v>0</v>
      </c>
      <c r="R639" s="2" t="inlineStr"/>
    </row>
    <row r="640" ht="15" customHeight="1">
      <c r="A640" t="inlineStr">
        <is>
          <t>A 35158-2025</t>
        </is>
      </c>
      <c r="B640" s="1" t="n">
        <v>45852</v>
      </c>
      <c r="C640" s="1" t="n">
        <v>46192</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34439-2025</t>
        </is>
      </c>
      <c r="B641" s="1" t="n">
        <v>45845</v>
      </c>
      <c r="C641" s="1" t="n">
        <v>46192</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18966-2026</t>
        </is>
      </c>
      <c r="B642" s="1" t="n">
        <v>46129</v>
      </c>
      <c r="C642" s="1" t="n">
        <v>46192</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51260-2021</t>
        </is>
      </c>
      <c r="B643" s="1" t="n">
        <v>44461</v>
      </c>
      <c r="C643" s="1" t="n">
        <v>46192</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38879-2024</t>
        </is>
      </c>
      <c r="B644" s="1" t="n">
        <v>45547</v>
      </c>
      <c r="C644" s="1" t="n">
        <v>46192</v>
      </c>
      <c r="D644" t="inlineStr">
        <is>
          <t>SÖDERMANLANDS LÄN</t>
        </is>
      </c>
      <c r="E644" t="inlineStr">
        <is>
          <t>KATRINEHOLM</t>
        </is>
      </c>
      <c r="G644" t="n">
        <v>2.6</v>
      </c>
      <c r="H644" t="n">
        <v>0</v>
      </c>
      <c r="I644" t="n">
        <v>0</v>
      </c>
      <c r="J644" t="n">
        <v>0</v>
      </c>
      <c r="K644" t="n">
        <v>0</v>
      </c>
      <c r="L644" t="n">
        <v>0</v>
      </c>
      <c r="M644" t="n">
        <v>0</v>
      </c>
      <c r="N644" t="n">
        <v>0</v>
      </c>
      <c r="O644" t="n">
        <v>0</v>
      </c>
      <c r="P644" t="n">
        <v>0</v>
      </c>
      <c r="Q644" t="n">
        <v>0</v>
      </c>
      <c r="R644" s="2" t="inlineStr"/>
    </row>
    <row r="645" ht="15" customHeight="1">
      <c r="A645" t="inlineStr">
        <is>
          <t>A 42945-2023</t>
        </is>
      </c>
      <c r="B645" s="1" t="n">
        <v>45182</v>
      </c>
      <c r="C645" s="1" t="n">
        <v>46192</v>
      </c>
      <c r="D645" t="inlineStr">
        <is>
          <t>SÖDERMANLANDS LÄN</t>
        </is>
      </c>
      <c r="E645" t="inlineStr">
        <is>
          <t>KATRINEHOLM</t>
        </is>
      </c>
      <c r="F645" t="inlineStr">
        <is>
          <t>Övriga Aktiebolag</t>
        </is>
      </c>
      <c r="G645" t="n">
        <v>2.2</v>
      </c>
      <c r="H645" t="n">
        <v>0</v>
      </c>
      <c r="I645" t="n">
        <v>0</v>
      </c>
      <c r="J645" t="n">
        <v>0</v>
      </c>
      <c r="K645" t="n">
        <v>0</v>
      </c>
      <c r="L645" t="n">
        <v>0</v>
      </c>
      <c r="M645" t="n">
        <v>0</v>
      </c>
      <c r="N645" t="n">
        <v>0</v>
      </c>
      <c r="O645" t="n">
        <v>0</v>
      </c>
      <c r="P645" t="n">
        <v>0</v>
      </c>
      <c r="Q645" t="n">
        <v>0</v>
      </c>
      <c r="R645" s="2" t="inlineStr"/>
    </row>
    <row r="646" ht="15" customHeight="1">
      <c r="A646" t="inlineStr">
        <is>
          <t>A 42962-2023</t>
        </is>
      </c>
      <c r="B646" s="1" t="n">
        <v>45182</v>
      </c>
      <c r="C646" s="1" t="n">
        <v>46192</v>
      </c>
      <c r="D646" t="inlineStr">
        <is>
          <t>SÖDERMANLANDS LÄN</t>
        </is>
      </c>
      <c r="E646" t="inlineStr">
        <is>
          <t>KATRINEHOLM</t>
        </is>
      </c>
      <c r="F646" t="inlineStr">
        <is>
          <t>Övriga Aktiebolag</t>
        </is>
      </c>
      <c r="G646" t="n">
        <v>10.6</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46192</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34176-2025</t>
        </is>
      </c>
      <c r="B648" s="1" t="n">
        <v>45845</v>
      </c>
      <c r="C648" s="1" t="n">
        <v>46192</v>
      </c>
      <c r="D648" t="inlineStr">
        <is>
          <t>SÖDERMANLANDS LÄN</t>
        </is>
      </c>
      <c r="E648" t="inlineStr">
        <is>
          <t>KATRINEHOLM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44024-2021</t>
        </is>
      </c>
      <c r="B649" s="1" t="n">
        <v>44434</v>
      </c>
      <c r="C649" s="1" t="n">
        <v>46192</v>
      </c>
      <c r="D649" t="inlineStr">
        <is>
          <t>SÖDERMANLANDS LÄN</t>
        </is>
      </c>
      <c r="E649" t="inlineStr">
        <is>
          <t>KATRINEHOLM</t>
        </is>
      </c>
      <c r="G649" t="n">
        <v>13</v>
      </c>
      <c r="H649" t="n">
        <v>0</v>
      </c>
      <c r="I649" t="n">
        <v>0</v>
      </c>
      <c r="J649" t="n">
        <v>0</v>
      </c>
      <c r="K649" t="n">
        <v>0</v>
      </c>
      <c r="L649" t="n">
        <v>0</v>
      </c>
      <c r="M649" t="n">
        <v>0</v>
      </c>
      <c r="N649" t="n">
        <v>0</v>
      </c>
      <c r="O649" t="n">
        <v>0</v>
      </c>
      <c r="P649" t="n">
        <v>0</v>
      </c>
      <c r="Q649" t="n">
        <v>0</v>
      </c>
      <c r="R649" s="2" t="inlineStr"/>
    </row>
    <row r="650" ht="15" customHeight="1">
      <c r="A650" t="inlineStr">
        <is>
          <t>A 19187-2026</t>
        </is>
      </c>
      <c r="B650" s="1" t="n">
        <v>46132</v>
      </c>
      <c r="C650" s="1" t="n">
        <v>46192</v>
      </c>
      <c r="D650" t="inlineStr">
        <is>
          <t>SÖDERMANLANDS LÄN</t>
        </is>
      </c>
      <c r="E650" t="inlineStr">
        <is>
          <t>KATRINEHOLM</t>
        </is>
      </c>
      <c r="G650" t="n">
        <v>3.7</v>
      </c>
      <c r="H650" t="n">
        <v>0</v>
      </c>
      <c r="I650" t="n">
        <v>0</v>
      </c>
      <c r="J650" t="n">
        <v>0</v>
      </c>
      <c r="K650" t="n">
        <v>0</v>
      </c>
      <c r="L650" t="n">
        <v>0</v>
      </c>
      <c r="M650" t="n">
        <v>0</v>
      </c>
      <c r="N650" t="n">
        <v>0</v>
      </c>
      <c r="O650" t="n">
        <v>0</v>
      </c>
      <c r="P650" t="n">
        <v>0</v>
      </c>
      <c r="Q650" t="n">
        <v>0</v>
      </c>
      <c r="R650" s="2" t="inlineStr"/>
    </row>
    <row r="651" ht="15" customHeight="1">
      <c r="A651" t="inlineStr">
        <is>
          <t>A 19098-2026</t>
        </is>
      </c>
      <c r="B651" s="1" t="n">
        <v>46132</v>
      </c>
      <c r="C651" s="1" t="n">
        <v>46192</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12227-2025</t>
        </is>
      </c>
      <c r="B652" s="1" t="n">
        <v>45729</v>
      </c>
      <c r="C652" s="1" t="n">
        <v>46192</v>
      </c>
      <c r="D652" t="inlineStr">
        <is>
          <t>SÖDERMANLANDS LÄN</t>
        </is>
      </c>
      <c r="E652" t="inlineStr">
        <is>
          <t>KATRINEHOLM</t>
        </is>
      </c>
      <c r="G652" t="n">
        <v>7</v>
      </c>
      <c r="H652" t="n">
        <v>0</v>
      </c>
      <c r="I652" t="n">
        <v>0</v>
      </c>
      <c r="J652" t="n">
        <v>0</v>
      </c>
      <c r="K652" t="n">
        <v>0</v>
      </c>
      <c r="L652" t="n">
        <v>0</v>
      </c>
      <c r="M652" t="n">
        <v>0</v>
      </c>
      <c r="N652" t="n">
        <v>0</v>
      </c>
      <c r="O652" t="n">
        <v>0</v>
      </c>
      <c r="P652" t="n">
        <v>0</v>
      </c>
      <c r="Q652" t="n">
        <v>0</v>
      </c>
      <c r="R652" s="2" t="inlineStr"/>
    </row>
    <row r="653" ht="15" customHeight="1">
      <c r="A653" t="inlineStr">
        <is>
          <t>A 19813-2026</t>
        </is>
      </c>
      <c r="B653" s="1" t="n">
        <v>46135</v>
      </c>
      <c r="C653" s="1" t="n">
        <v>46192</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16605-2025</t>
        </is>
      </c>
      <c r="B654" s="1" t="n">
        <v>45753</v>
      </c>
      <c r="C654" s="1" t="n">
        <v>46192</v>
      </c>
      <c r="D654" t="inlineStr">
        <is>
          <t>SÖDERMANLANDS LÄN</t>
        </is>
      </c>
      <c r="E654" t="inlineStr">
        <is>
          <t>KATRINEHOLM</t>
        </is>
      </c>
      <c r="G654" t="n">
        <v>5.2</v>
      </c>
      <c r="H654" t="n">
        <v>0</v>
      </c>
      <c r="I654" t="n">
        <v>0</v>
      </c>
      <c r="J654" t="n">
        <v>0</v>
      </c>
      <c r="K654" t="n">
        <v>0</v>
      </c>
      <c r="L654" t="n">
        <v>0</v>
      </c>
      <c r="M654" t="n">
        <v>0</v>
      </c>
      <c r="N654" t="n">
        <v>0</v>
      </c>
      <c r="O654" t="n">
        <v>0</v>
      </c>
      <c r="P654" t="n">
        <v>0</v>
      </c>
      <c r="Q654" t="n">
        <v>0</v>
      </c>
      <c r="R654" s="2" t="inlineStr"/>
    </row>
    <row r="655" ht="15" customHeight="1">
      <c r="A655" t="inlineStr">
        <is>
          <t>A 26684-2025</t>
        </is>
      </c>
      <c r="B655" s="1" t="n">
        <v>45810</v>
      </c>
      <c r="C655" s="1" t="n">
        <v>46192</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73409-2021</t>
        </is>
      </c>
      <c r="B656" s="1" t="n">
        <v>44551</v>
      </c>
      <c r="C656" s="1" t="n">
        <v>46192</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73415-2021</t>
        </is>
      </c>
      <c r="B657" s="1" t="n">
        <v>44551</v>
      </c>
      <c r="C657" s="1" t="n">
        <v>46192</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37043-2025</t>
        </is>
      </c>
      <c r="B658" s="1" t="n">
        <v>45875</v>
      </c>
      <c r="C658" s="1" t="n">
        <v>46192</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63188-2021</t>
        </is>
      </c>
      <c r="B659" s="1" t="n">
        <v>44507</v>
      </c>
      <c r="C659" s="1" t="n">
        <v>46192</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8457-2023</t>
        </is>
      </c>
      <c r="B660" s="1" t="n">
        <v>44977</v>
      </c>
      <c r="C660" s="1" t="n">
        <v>46192</v>
      </c>
      <c r="D660" t="inlineStr">
        <is>
          <t>SÖDERMANLANDS LÄN</t>
        </is>
      </c>
      <c r="E660" t="inlineStr">
        <is>
          <t>KATRINEHOLM</t>
        </is>
      </c>
      <c r="F660" t="inlineStr">
        <is>
          <t>Allmännings- och besparingsskogar</t>
        </is>
      </c>
      <c r="G660" t="n">
        <v>16.1</v>
      </c>
      <c r="H660" t="n">
        <v>0</v>
      </c>
      <c r="I660" t="n">
        <v>0</v>
      </c>
      <c r="J660" t="n">
        <v>0</v>
      </c>
      <c r="K660" t="n">
        <v>0</v>
      </c>
      <c r="L660" t="n">
        <v>0</v>
      </c>
      <c r="M660" t="n">
        <v>0</v>
      </c>
      <c r="N660" t="n">
        <v>0</v>
      </c>
      <c r="O660" t="n">
        <v>0</v>
      </c>
      <c r="P660" t="n">
        <v>0</v>
      </c>
      <c r="Q660" t="n">
        <v>0</v>
      </c>
      <c r="R660" s="2" t="inlineStr"/>
    </row>
    <row r="661" ht="15" customHeight="1">
      <c r="A661" t="inlineStr">
        <is>
          <t>A 18309-2026</t>
        </is>
      </c>
      <c r="B661" s="1" t="n">
        <v>46126</v>
      </c>
      <c r="C661" s="1" t="n">
        <v>46192</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37827-2025</t>
        </is>
      </c>
      <c r="B662" s="1" t="n">
        <v>45881</v>
      </c>
      <c r="C662" s="1" t="n">
        <v>46192</v>
      </c>
      <c r="D662" t="inlineStr">
        <is>
          <t>SÖDERMANLANDS LÄN</t>
        </is>
      </c>
      <c r="E662" t="inlineStr">
        <is>
          <t>KATRINEHOLM</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60160-2022</t>
        </is>
      </c>
      <c r="B663" s="1" t="n">
        <v>44909</v>
      </c>
      <c r="C663" s="1" t="n">
        <v>46192</v>
      </c>
      <c r="D663" t="inlineStr">
        <is>
          <t>SÖDERMANLANDS LÄN</t>
        </is>
      </c>
      <c r="E663" t="inlineStr">
        <is>
          <t>KATRINEHOLM</t>
        </is>
      </c>
      <c r="F663" t="inlineStr">
        <is>
          <t>Allmännings- och besparingsskogar</t>
        </is>
      </c>
      <c r="G663" t="n">
        <v>2</v>
      </c>
      <c r="H663" t="n">
        <v>0</v>
      </c>
      <c r="I663" t="n">
        <v>0</v>
      </c>
      <c r="J663" t="n">
        <v>0</v>
      </c>
      <c r="K663" t="n">
        <v>0</v>
      </c>
      <c r="L663" t="n">
        <v>0</v>
      </c>
      <c r="M663" t="n">
        <v>0</v>
      </c>
      <c r="N663" t="n">
        <v>0</v>
      </c>
      <c r="O663" t="n">
        <v>0</v>
      </c>
      <c r="P663" t="n">
        <v>0</v>
      </c>
      <c r="Q663" t="n">
        <v>0</v>
      </c>
      <c r="R663" s="2" t="inlineStr"/>
    </row>
    <row r="664" ht="15" customHeight="1">
      <c r="A664" t="inlineStr">
        <is>
          <t>A 30350-2025</t>
        </is>
      </c>
      <c r="B664" s="1" t="n">
        <v>45827</v>
      </c>
      <c r="C664" s="1" t="n">
        <v>46192</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48685-2022</t>
        </is>
      </c>
      <c r="B665" s="1" t="n">
        <v>44859</v>
      </c>
      <c r="C665" s="1" t="n">
        <v>46192</v>
      </c>
      <c r="D665" t="inlineStr">
        <is>
          <t>SÖDERMANLANDS LÄN</t>
        </is>
      </c>
      <c r="E665" t="inlineStr">
        <is>
          <t>KATRINEHOLM</t>
        </is>
      </c>
      <c r="G665" t="n">
        <v>0.5</v>
      </c>
      <c r="H665" t="n">
        <v>0</v>
      </c>
      <c r="I665" t="n">
        <v>0</v>
      </c>
      <c r="J665" t="n">
        <v>0</v>
      </c>
      <c r="K665" t="n">
        <v>0</v>
      </c>
      <c r="L665" t="n">
        <v>0</v>
      </c>
      <c r="M665" t="n">
        <v>0</v>
      </c>
      <c r="N665" t="n">
        <v>0</v>
      </c>
      <c r="O665" t="n">
        <v>0</v>
      </c>
      <c r="P665" t="n">
        <v>0</v>
      </c>
      <c r="Q665" t="n">
        <v>0</v>
      </c>
      <c r="R665" s="2" t="inlineStr"/>
    </row>
    <row r="666" ht="15" customHeight="1">
      <c r="A666" t="inlineStr">
        <is>
          <t>A 42519-2024</t>
        </is>
      </c>
      <c r="B666" s="1" t="n">
        <v>45565</v>
      </c>
      <c r="C666" s="1" t="n">
        <v>46192</v>
      </c>
      <c r="D666" t="inlineStr">
        <is>
          <t>SÖDERMANLANDS LÄN</t>
        </is>
      </c>
      <c r="E666" t="inlineStr">
        <is>
          <t>KATRINEHOLM</t>
        </is>
      </c>
      <c r="G666" t="n">
        <v>1.7</v>
      </c>
      <c r="H666" t="n">
        <v>0</v>
      </c>
      <c r="I666" t="n">
        <v>0</v>
      </c>
      <c r="J666" t="n">
        <v>0</v>
      </c>
      <c r="K666" t="n">
        <v>0</v>
      </c>
      <c r="L666" t="n">
        <v>0</v>
      </c>
      <c r="M666" t="n">
        <v>0</v>
      </c>
      <c r="N666" t="n">
        <v>0</v>
      </c>
      <c r="O666" t="n">
        <v>0</v>
      </c>
      <c r="P666" t="n">
        <v>0</v>
      </c>
      <c r="Q666" t="n">
        <v>0</v>
      </c>
      <c r="R666" s="2" t="inlineStr"/>
    </row>
    <row r="667" ht="15" customHeight="1">
      <c r="A667" t="inlineStr">
        <is>
          <t>A 11543-2025</t>
        </is>
      </c>
      <c r="B667" s="1" t="n">
        <v>45727</v>
      </c>
      <c r="C667" s="1" t="n">
        <v>46192</v>
      </c>
      <c r="D667" t="inlineStr">
        <is>
          <t>SÖDERMANLANDS LÄN</t>
        </is>
      </c>
      <c r="E667" t="inlineStr">
        <is>
          <t>KATRINEHOLM</t>
        </is>
      </c>
      <c r="G667" t="n">
        <v>3.6</v>
      </c>
      <c r="H667" t="n">
        <v>0</v>
      </c>
      <c r="I667" t="n">
        <v>0</v>
      </c>
      <c r="J667" t="n">
        <v>0</v>
      </c>
      <c r="K667" t="n">
        <v>0</v>
      </c>
      <c r="L667" t="n">
        <v>0</v>
      </c>
      <c r="M667" t="n">
        <v>0</v>
      </c>
      <c r="N667" t="n">
        <v>0</v>
      </c>
      <c r="O667" t="n">
        <v>0</v>
      </c>
      <c r="P667" t="n">
        <v>0</v>
      </c>
      <c r="Q667" t="n">
        <v>0</v>
      </c>
      <c r="R667" s="2" t="inlineStr"/>
    </row>
    <row r="668" ht="15" customHeight="1">
      <c r="A668" t="inlineStr">
        <is>
          <t>A 20202-2026</t>
        </is>
      </c>
      <c r="B668" s="1" t="n">
        <v>46136</v>
      </c>
      <c r="C668" s="1" t="n">
        <v>46192</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41498-2025</t>
        </is>
      </c>
      <c r="B669" s="1" t="n">
        <v>45901</v>
      </c>
      <c r="C669" s="1" t="n">
        <v>46192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35228-2025</t>
        </is>
      </c>
      <c r="B670" s="1" t="n">
        <v>45853</v>
      </c>
      <c r="C670" s="1" t="n">
        <v>46192</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43499-2021</t>
        </is>
      </c>
      <c r="B671" s="1" t="n">
        <v>44433</v>
      </c>
      <c r="C671" s="1" t="n">
        <v>46192</v>
      </c>
      <c r="D671" t="inlineStr">
        <is>
          <t>SÖDERMANLANDS LÄN</t>
        </is>
      </c>
      <c r="E671" t="inlineStr">
        <is>
          <t>KATRINEHOLM</t>
        </is>
      </c>
      <c r="F671" t="inlineStr">
        <is>
          <t>Övriga Aktiebolag</t>
        </is>
      </c>
      <c r="G671" t="n">
        <v>1.4</v>
      </c>
      <c r="H671" t="n">
        <v>0</v>
      </c>
      <c r="I671" t="n">
        <v>0</v>
      </c>
      <c r="J671" t="n">
        <v>0</v>
      </c>
      <c r="K671" t="n">
        <v>0</v>
      </c>
      <c r="L671" t="n">
        <v>0</v>
      </c>
      <c r="M671" t="n">
        <v>0</v>
      </c>
      <c r="N671" t="n">
        <v>0</v>
      </c>
      <c r="O671" t="n">
        <v>0</v>
      </c>
      <c r="P671" t="n">
        <v>0</v>
      </c>
      <c r="Q671" t="n">
        <v>0</v>
      </c>
      <c r="R671" s="2" t="inlineStr"/>
    </row>
    <row r="672" ht="15" customHeight="1">
      <c r="A672" t="inlineStr">
        <is>
          <t>A 32169-2022</t>
        </is>
      </c>
      <c r="B672" s="1" t="n">
        <v>44781</v>
      </c>
      <c r="C672" s="1" t="n">
        <v>46192</v>
      </c>
      <c r="D672" t="inlineStr">
        <is>
          <t>SÖDERMANLANDS LÄN</t>
        </is>
      </c>
      <c r="E672" t="inlineStr">
        <is>
          <t>KATRINEHOLM</t>
        </is>
      </c>
      <c r="F672" t="inlineStr">
        <is>
          <t>Kommuner</t>
        </is>
      </c>
      <c r="G672" t="n">
        <v>0.9</v>
      </c>
      <c r="H672" t="n">
        <v>0</v>
      </c>
      <c r="I672" t="n">
        <v>0</v>
      </c>
      <c r="J672" t="n">
        <v>0</v>
      </c>
      <c r="K672" t="n">
        <v>0</v>
      </c>
      <c r="L672" t="n">
        <v>0</v>
      </c>
      <c r="M672" t="n">
        <v>0</v>
      </c>
      <c r="N672" t="n">
        <v>0</v>
      </c>
      <c r="O672" t="n">
        <v>0</v>
      </c>
      <c r="P672" t="n">
        <v>0</v>
      </c>
      <c r="Q672" t="n">
        <v>0</v>
      </c>
      <c r="R672" s="2" t="inlineStr"/>
    </row>
    <row r="673" ht="15" customHeight="1">
      <c r="A673" t="inlineStr">
        <is>
          <t>A 55122-2022</t>
        </is>
      </c>
      <c r="B673" s="1" t="n">
        <v>44886</v>
      </c>
      <c r="C673" s="1" t="n">
        <v>46192</v>
      </c>
      <c r="D673" t="inlineStr">
        <is>
          <t>SÖDERMANLANDS LÄN</t>
        </is>
      </c>
      <c r="E673" t="inlineStr">
        <is>
          <t>KATRINEHOLM</t>
        </is>
      </c>
      <c r="G673" t="n">
        <v>6.5</v>
      </c>
      <c r="H673" t="n">
        <v>0</v>
      </c>
      <c r="I673" t="n">
        <v>0</v>
      </c>
      <c r="J673" t="n">
        <v>0</v>
      </c>
      <c r="K673" t="n">
        <v>0</v>
      </c>
      <c r="L673" t="n">
        <v>0</v>
      </c>
      <c r="M673" t="n">
        <v>0</v>
      </c>
      <c r="N673" t="n">
        <v>0</v>
      </c>
      <c r="O673" t="n">
        <v>0</v>
      </c>
      <c r="P673" t="n">
        <v>0</v>
      </c>
      <c r="Q673" t="n">
        <v>0</v>
      </c>
      <c r="R673" s="2" t="inlineStr"/>
    </row>
    <row r="674" ht="15" customHeight="1">
      <c r="A674" t="inlineStr">
        <is>
          <t>A 54395-2025</t>
        </is>
      </c>
      <c r="B674" s="1" t="n">
        <v>45964</v>
      </c>
      <c r="C674" s="1" t="n">
        <v>46192</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43964-2022</t>
        </is>
      </c>
      <c r="B675" s="1" t="n">
        <v>44837</v>
      </c>
      <c r="C675" s="1" t="n">
        <v>46192</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46075-2023</t>
        </is>
      </c>
      <c r="B676" s="1" t="n">
        <v>45196</v>
      </c>
      <c r="C676" s="1" t="n">
        <v>46192</v>
      </c>
      <c r="D676" t="inlineStr">
        <is>
          <t>SÖDERMANLANDS LÄN</t>
        </is>
      </c>
      <c r="E676" t="inlineStr">
        <is>
          <t>KATRINEHOLM</t>
        </is>
      </c>
      <c r="F676" t="inlineStr">
        <is>
          <t>Övriga Aktiebolag</t>
        </is>
      </c>
      <c r="G676" t="n">
        <v>9.5</v>
      </c>
      <c r="H676" t="n">
        <v>0</v>
      </c>
      <c r="I676" t="n">
        <v>0</v>
      </c>
      <c r="J676" t="n">
        <v>0</v>
      </c>
      <c r="K676" t="n">
        <v>0</v>
      </c>
      <c r="L676" t="n">
        <v>0</v>
      </c>
      <c r="M676" t="n">
        <v>0</v>
      </c>
      <c r="N676" t="n">
        <v>0</v>
      </c>
      <c r="O676" t="n">
        <v>0</v>
      </c>
      <c r="P676" t="n">
        <v>0</v>
      </c>
      <c r="Q676" t="n">
        <v>0</v>
      </c>
      <c r="R676" s="2" t="inlineStr"/>
    </row>
    <row r="677" ht="15" customHeight="1">
      <c r="A677" t="inlineStr">
        <is>
          <t>A 9992-2022</t>
        </is>
      </c>
      <c r="B677" s="1" t="n">
        <v>44621</v>
      </c>
      <c r="C677" s="1" t="n">
        <v>46192</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55829-2025</t>
        </is>
      </c>
      <c r="B678" s="1" t="n">
        <v>45972</v>
      </c>
      <c r="C678" s="1" t="n">
        <v>46192</v>
      </c>
      <c r="D678" t="inlineStr">
        <is>
          <t>SÖDERMANLANDS LÄN</t>
        </is>
      </c>
      <c r="E678" t="inlineStr">
        <is>
          <t>KATRINEHOLM</t>
        </is>
      </c>
      <c r="G678" t="n">
        <v>3.2</v>
      </c>
      <c r="H678" t="n">
        <v>0</v>
      </c>
      <c r="I678" t="n">
        <v>0</v>
      </c>
      <c r="J678" t="n">
        <v>0</v>
      </c>
      <c r="K678" t="n">
        <v>0</v>
      </c>
      <c r="L678" t="n">
        <v>0</v>
      </c>
      <c r="M678" t="n">
        <v>0</v>
      </c>
      <c r="N678" t="n">
        <v>0</v>
      </c>
      <c r="O678" t="n">
        <v>0</v>
      </c>
      <c r="P678" t="n">
        <v>0</v>
      </c>
      <c r="Q678" t="n">
        <v>0</v>
      </c>
      <c r="R678" s="2" t="inlineStr"/>
    </row>
    <row r="679" ht="15" customHeight="1">
      <c r="A679" t="inlineStr">
        <is>
          <t>A 44659-2023</t>
        </is>
      </c>
      <c r="B679" s="1" t="n">
        <v>45189</v>
      </c>
      <c r="C679" s="1" t="n">
        <v>46192</v>
      </c>
      <c r="D679" t="inlineStr">
        <is>
          <t>SÖDERMANLANDS LÄN</t>
        </is>
      </c>
      <c r="E679" t="inlineStr">
        <is>
          <t>KATRINEHOLM</t>
        </is>
      </c>
      <c r="G679" t="n">
        <v>3.5</v>
      </c>
      <c r="H679" t="n">
        <v>0</v>
      </c>
      <c r="I679" t="n">
        <v>0</v>
      </c>
      <c r="J679" t="n">
        <v>0</v>
      </c>
      <c r="K679" t="n">
        <v>0</v>
      </c>
      <c r="L679" t="n">
        <v>0</v>
      </c>
      <c r="M679" t="n">
        <v>0</v>
      </c>
      <c r="N679" t="n">
        <v>0</v>
      </c>
      <c r="O679" t="n">
        <v>0</v>
      </c>
      <c r="P679" t="n">
        <v>0</v>
      </c>
      <c r="Q679" t="n">
        <v>0</v>
      </c>
      <c r="R679" s="2" t="inlineStr"/>
    </row>
    <row r="680" ht="15" customHeight="1">
      <c r="A680" t="inlineStr">
        <is>
          <t>A 48682-2022</t>
        </is>
      </c>
      <c r="B680" s="1" t="n">
        <v>44859</v>
      </c>
      <c r="C680" s="1" t="n">
        <v>46192</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31392-2025</t>
        </is>
      </c>
      <c r="B681" s="1" t="n">
        <v>45833</v>
      </c>
      <c r="C681" s="1" t="n">
        <v>46192</v>
      </c>
      <c r="D681" t="inlineStr">
        <is>
          <t>SÖDERMANLANDS LÄN</t>
        </is>
      </c>
      <c r="E681" t="inlineStr">
        <is>
          <t>KATRINEHOLM</t>
        </is>
      </c>
      <c r="G681" t="n">
        <v>5</v>
      </c>
      <c r="H681" t="n">
        <v>0</v>
      </c>
      <c r="I681" t="n">
        <v>0</v>
      </c>
      <c r="J681" t="n">
        <v>0</v>
      </c>
      <c r="K681" t="n">
        <v>0</v>
      </c>
      <c r="L681" t="n">
        <v>0</v>
      </c>
      <c r="M681" t="n">
        <v>0</v>
      </c>
      <c r="N681" t="n">
        <v>0</v>
      </c>
      <c r="O681" t="n">
        <v>0</v>
      </c>
      <c r="P681" t="n">
        <v>0</v>
      </c>
      <c r="Q681" t="n">
        <v>0</v>
      </c>
      <c r="R681" s="2" t="inlineStr"/>
    </row>
    <row r="682" ht="15" customHeight="1">
      <c r="A682" t="inlineStr">
        <is>
          <t>A 14629-2023</t>
        </is>
      </c>
      <c r="B682" s="1" t="n">
        <v>45013</v>
      </c>
      <c r="C682" s="1" t="n">
        <v>46192</v>
      </c>
      <c r="D682" t="inlineStr">
        <is>
          <t>SÖDERMANLANDS LÄN</t>
        </is>
      </c>
      <c r="E682" t="inlineStr">
        <is>
          <t>KATRINEHOLM</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20221-2026</t>
        </is>
      </c>
      <c r="B683" s="1" t="n">
        <v>46139</v>
      </c>
      <c r="C683" s="1" t="n">
        <v>46192</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57524-2021</t>
        </is>
      </c>
      <c r="B684" s="1" t="n">
        <v>44483</v>
      </c>
      <c r="C684" s="1" t="n">
        <v>46192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20185-2026</t>
        </is>
      </c>
      <c r="B685" s="1" t="n">
        <v>46136</v>
      </c>
      <c r="C685" s="1" t="n">
        <v>46192</v>
      </c>
      <c r="D685" t="inlineStr">
        <is>
          <t>SÖDERMANLANDS LÄN</t>
        </is>
      </c>
      <c r="E685" t="inlineStr">
        <is>
          <t>KATRINEHOLM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27345-2023</t>
        </is>
      </c>
      <c r="B686" s="1" t="n">
        <v>45096</v>
      </c>
      <c r="C686" s="1" t="n">
        <v>46192</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53996-2023</t>
        </is>
      </c>
      <c r="B687" s="1" t="n">
        <v>45231</v>
      </c>
      <c r="C687" s="1" t="n">
        <v>46192</v>
      </c>
      <c r="D687" t="inlineStr">
        <is>
          <t>SÖDERMANLANDS LÄN</t>
        </is>
      </c>
      <c r="E687" t="inlineStr">
        <is>
          <t>KATRINEHOLM</t>
        </is>
      </c>
      <c r="G687" t="n">
        <v>4.9</v>
      </c>
      <c r="H687" t="n">
        <v>0</v>
      </c>
      <c r="I687" t="n">
        <v>0</v>
      </c>
      <c r="J687" t="n">
        <v>0</v>
      </c>
      <c r="K687" t="n">
        <v>0</v>
      </c>
      <c r="L687" t="n">
        <v>0</v>
      </c>
      <c r="M687" t="n">
        <v>0</v>
      </c>
      <c r="N687" t="n">
        <v>0</v>
      </c>
      <c r="O687" t="n">
        <v>0</v>
      </c>
      <c r="P687" t="n">
        <v>0</v>
      </c>
      <c r="Q687" t="n">
        <v>0</v>
      </c>
      <c r="R687" s="2" t="inlineStr"/>
    </row>
    <row r="688" ht="15" customHeight="1">
      <c r="A688" t="inlineStr">
        <is>
          <t>A 11127-2023</t>
        </is>
      </c>
      <c r="B688" s="1" t="n">
        <v>44987</v>
      </c>
      <c r="C688" s="1" t="n">
        <v>46192</v>
      </c>
      <c r="D688" t="inlineStr">
        <is>
          <t>SÖDERMANLANDS LÄN</t>
        </is>
      </c>
      <c r="E688" t="inlineStr">
        <is>
          <t>KATRINEHOLM</t>
        </is>
      </c>
      <c r="G688" t="n">
        <v>4.3</v>
      </c>
      <c r="H688" t="n">
        <v>0</v>
      </c>
      <c r="I688" t="n">
        <v>0</v>
      </c>
      <c r="J688" t="n">
        <v>0</v>
      </c>
      <c r="K688" t="n">
        <v>0</v>
      </c>
      <c r="L688" t="n">
        <v>0</v>
      </c>
      <c r="M688" t="n">
        <v>0</v>
      </c>
      <c r="N688" t="n">
        <v>0</v>
      </c>
      <c r="O688" t="n">
        <v>0</v>
      </c>
      <c r="P688" t="n">
        <v>0</v>
      </c>
      <c r="Q688" t="n">
        <v>0</v>
      </c>
      <c r="R688" s="2" t="inlineStr"/>
    </row>
    <row r="689" ht="15" customHeight="1">
      <c r="A689" t="inlineStr">
        <is>
          <t>A 37185-2023</t>
        </is>
      </c>
      <c r="B689" s="1" t="n">
        <v>45154</v>
      </c>
      <c r="C689" s="1" t="n">
        <v>46192</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28931-2024</t>
        </is>
      </c>
      <c r="B690" s="1" t="n">
        <v>45479</v>
      </c>
      <c r="C690" s="1" t="n">
        <v>46192</v>
      </c>
      <c r="D690" t="inlineStr">
        <is>
          <t>SÖDERMANLANDS LÄN</t>
        </is>
      </c>
      <c r="E690" t="inlineStr">
        <is>
          <t>KATRINEHOLM</t>
        </is>
      </c>
      <c r="G690" t="n">
        <v>7.4</v>
      </c>
      <c r="H690" t="n">
        <v>0</v>
      </c>
      <c r="I690" t="n">
        <v>0</v>
      </c>
      <c r="J690" t="n">
        <v>0</v>
      </c>
      <c r="K690" t="n">
        <v>0</v>
      </c>
      <c r="L690" t="n">
        <v>0</v>
      </c>
      <c r="M690" t="n">
        <v>0</v>
      </c>
      <c r="N690" t="n">
        <v>0</v>
      </c>
      <c r="O690" t="n">
        <v>0</v>
      </c>
      <c r="P690" t="n">
        <v>0</v>
      </c>
      <c r="Q690" t="n">
        <v>0</v>
      </c>
      <c r="R690" s="2" t="inlineStr"/>
    </row>
    <row r="691" ht="15" customHeight="1">
      <c r="A691" t="inlineStr">
        <is>
          <t>A 35145-2025</t>
        </is>
      </c>
      <c r="B691" s="1" t="n">
        <v>45852</v>
      </c>
      <c r="C691" s="1" t="n">
        <v>46192</v>
      </c>
      <c r="D691" t="inlineStr">
        <is>
          <t>SÖDERMANLANDS LÄN</t>
        </is>
      </c>
      <c r="E691" t="inlineStr">
        <is>
          <t>KATRINEHOLM</t>
        </is>
      </c>
      <c r="G691" t="n">
        <v>3.1</v>
      </c>
      <c r="H691" t="n">
        <v>0</v>
      </c>
      <c r="I691" t="n">
        <v>0</v>
      </c>
      <c r="J691" t="n">
        <v>0</v>
      </c>
      <c r="K691" t="n">
        <v>0</v>
      </c>
      <c r="L691" t="n">
        <v>0</v>
      </c>
      <c r="M691" t="n">
        <v>0</v>
      </c>
      <c r="N691" t="n">
        <v>0</v>
      </c>
      <c r="O691" t="n">
        <v>0</v>
      </c>
      <c r="P691" t="n">
        <v>0</v>
      </c>
      <c r="Q691" t="n">
        <v>0</v>
      </c>
      <c r="R691" s="2" t="inlineStr"/>
    </row>
    <row r="692" ht="15" customHeight="1">
      <c r="A692" t="inlineStr">
        <is>
          <t>A 22113-2025</t>
        </is>
      </c>
      <c r="B692" s="1" t="n">
        <v>45785</v>
      </c>
      <c r="C692" s="1" t="n">
        <v>46192</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30386-2025</t>
        </is>
      </c>
      <c r="B693" s="1" t="n">
        <v>45827</v>
      </c>
      <c r="C693" s="1" t="n">
        <v>46192</v>
      </c>
      <c r="D693" t="inlineStr">
        <is>
          <t>SÖDERMANLANDS LÄN</t>
        </is>
      </c>
      <c r="E693" t="inlineStr">
        <is>
          <t>KATRINEHOLM</t>
        </is>
      </c>
      <c r="G693" t="n">
        <v>5.6</v>
      </c>
      <c r="H693" t="n">
        <v>0</v>
      </c>
      <c r="I693" t="n">
        <v>0</v>
      </c>
      <c r="J693" t="n">
        <v>0</v>
      </c>
      <c r="K693" t="n">
        <v>0</v>
      </c>
      <c r="L693" t="n">
        <v>0</v>
      </c>
      <c r="M693" t="n">
        <v>0</v>
      </c>
      <c r="N693" t="n">
        <v>0</v>
      </c>
      <c r="O693" t="n">
        <v>0</v>
      </c>
      <c r="P693" t="n">
        <v>0</v>
      </c>
      <c r="Q693" t="n">
        <v>0</v>
      </c>
      <c r="R693" s="2" t="inlineStr"/>
    </row>
    <row r="694" ht="15" customHeight="1">
      <c r="A694" t="inlineStr">
        <is>
          <t>A 24284-2024</t>
        </is>
      </c>
      <c r="B694" s="1" t="n">
        <v>45457</v>
      </c>
      <c r="C694" s="1" t="n">
        <v>46192</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66393-2021</t>
        </is>
      </c>
      <c r="B695" s="1" t="n">
        <v>44518</v>
      </c>
      <c r="C695" s="1" t="n">
        <v>46192</v>
      </c>
      <c r="D695" t="inlineStr">
        <is>
          <t>SÖDERMANLANDS LÄN</t>
        </is>
      </c>
      <c r="E695" t="inlineStr">
        <is>
          <t>KATRINEHOLM</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28304-2024</t>
        </is>
      </c>
      <c r="B696" s="1" t="n">
        <v>45477</v>
      </c>
      <c r="C696" s="1" t="n">
        <v>46192</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50840-2022</t>
        </is>
      </c>
      <c r="B697" s="1" t="n">
        <v>44862</v>
      </c>
      <c r="C697" s="1" t="n">
        <v>46192</v>
      </c>
      <c r="D697" t="inlineStr">
        <is>
          <t>SÖDERMANLANDS LÄN</t>
        </is>
      </c>
      <c r="E697" t="inlineStr">
        <is>
          <t>KATRINEHOLM</t>
        </is>
      </c>
      <c r="G697" t="n">
        <v>4.2</v>
      </c>
      <c r="H697" t="n">
        <v>0</v>
      </c>
      <c r="I697" t="n">
        <v>0</v>
      </c>
      <c r="J697" t="n">
        <v>0</v>
      </c>
      <c r="K697" t="n">
        <v>0</v>
      </c>
      <c r="L697" t="n">
        <v>0</v>
      </c>
      <c r="M697" t="n">
        <v>0</v>
      </c>
      <c r="N697" t="n">
        <v>0</v>
      </c>
      <c r="O697" t="n">
        <v>0</v>
      </c>
      <c r="P697" t="n">
        <v>0</v>
      </c>
      <c r="Q697" t="n">
        <v>0</v>
      </c>
      <c r="R697" s="2" t="inlineStr"/>
    </row>
    <row r="698" ht="15" customHeight="1">
      <c r="A698" t="inlineStr">
        <is>
          <t>A 14245-2024</t>
        </is>
      </c>
      <c r="B698" s="1" t="n">
        <v>45393</v>
      </c>
      <c r="C698" s="1" t="n">
        <v>46192</v>
      </c>
      <c r="D698" t="inlineStr">
        <is>
          <t>SÖDERMANLANDS LÄN</t>
        </is>
      </c>
      <c r="E698" t="inlineStr">
        <is>
          <t>KATRINEHOLM</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36832-2023</t>
        </is>
      </c>
      <c r="B699" s="1" t="n">
        <v>45153</v>
      </c>
      <c r="C699" s="1" t="n">
        <v>46192</v>
      </c>
      <c r="D699" t="inlineStr">
        <is>
          <t>SÖDERMANLANDS LÄN</t>
        </is>
      </c>
      <c r="E699" t="inlineStr">
        <is>
          <t>KATRINEHOLM</t>
        </is>
      </c>
      <c r="F699" t="inlineStr">
        <is>
          <t>Övriga Aktiebolag</t>
        </is>
      </c>
      <c r="G699" t="n">
        <v>9</v>
      </c>
      <c r="H699" t="n">
        <v>0</v>
      </c>
      <c r="I699" t="n">
        <v>0</v>
      </c>
      <c r="J699" t="n">
        <v>0</v>
      </c>
      <c r="K699" t="n">
        <v>0</v>
      </c>
      <c r="L699" t="n">
        <v>0</v>
      </c>
      <c r="M699" t="n">
        <v>0</v>
      </c>
      <c r="N699" t="n">
        <v>0</v>
      </c>
      <c r="O699" t="n">
        <v>0</v>
      </c>
      <c r="P699" t="n">
        <v>0</v>
      </c>
      <c r="Q699" t="n">
        <v>0</v>
      </c>
      <c r="R699" s="2" t="inlineStr"/>
    </row>
    <row r="700" ht="15" customHeight="1">
      <c r="A700" t="inlineStr">
        <is>
          <t>A 22336-2025</t>
        </is>
      </c>
      <c r="B700" s="1" t="n">
        <v>45786</v>
      </c>
      <c r="C700" s="1" t="n">
        <v>46192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39052-2023</t>
        </is>
      </c>
      <c r="B701" s="1" t="n">
        <v>45163</v>
      </c>
      <c r="C701" s="1" t="n">
        <v>46192</v>
      </c>
      <c r="D701" t="inlineStr">
        <is>
          <t>SÖDERMANLANDS LÄN</t>
        </is>
      </c>
      <c r="E701" t="inlineStr">
        <is>
          <t>KATRINEHOLM</t>
        </is>
      </c>
      <c r="G701" t="n">
        <v>3</v>
      </c>
      <c r="H701" t="n">
        <v>0</v>
      </c>
      <c r="I701" t="n">
        <v>0</v>
      </c>
      <c r="J701" t="n">
        <v>0</v>
      </c>
      <c r="K701" t="n">
        <v>0</v>
      </c>
      <c r="L701" t="n">
        <v>0</v>
      </c>
      <c r="M701" t="n">
        <v>0</v>
      </c>
      <c r="N701" t="n">
        <v>0</v>
      </c>
      <c r="O701" t="n">
        <v>0</v>
      </c>
      <c r="P701" t="n">
        <v>0</v>
      </c>
      <c r="Q701" t="n">
        <v>0</v>
      </c>
      <c r="R701" s="2" t="inlineStr"/>
    </row>
    <row r="702" ht="15" customHeight="1">
      <c r="A702" t="inlineStr">
        <is>
          <t>A 41793-2025</t>
        </is>
      </c>
      <c r="B702" s="1" t="n">
        <v>45902</v>
      </c>
      <c r="C702" s="1" t="n">
        <v>46192</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20200-2026</t>
        </is>
      </c>
      <c r="B703" s="1" t="n">
        <v>46136</v>
      </c>
      <c r="C703" s="1" t="n">
        <v>46192</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30333-2023</t>
        </is>
      </c>
      <c r="B704" s="1" t="n">
        <v>45111</v>
      </c>
      <c r="C704" s="1" t="n">
        <v>46192</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10891-2026</t>
        </is>
      </c>
      <c r="B705" s="1" t="n">
        <v>46078</v>
      </c>
      <c r="C705" s="1" t="n">
        <v>46192</v>
      </c>
      <c r="D705" t="inlineStr">
        <is>
          <t>SÖDERMANLANDS LÄN</t>
        </is>
      </c>
      <c r="E705" t="inlineStr">
        <is>
          <t>KATRINEHOLM</t>
        </is>
      </c>
      <c r="F705" t="inlineStr">
        <is>
          <t>Allmännings- och besparingsskogar</t>
        </is>
      </c>
      <c r="G705" t="n">
        <v>1.6</v>
      </c>
      <c r="H705" t="n">
        <v>0</v>
      </c>
      <c r="I705" t="n">
        <v>0</v>
      </c>
      <c r="J705" t="n">
        <v>0</v>
      </c>
      <c r="K705" t="n">
        <v>0</v>
      </c>
      <c r="L705" t="n">
        <v>0</v>
      </c>
      <c r="M705" t="n">
        <v>0</v>
      </c>
      <c r="N705" t="n">
        <v>0</v>
      </c>
      <c r="O705" t="n">
        <v>0</v>
      </c>
      <c r="P705" t="n">
        <v>0</v>
      </c>
      <c r="Q705" t="n">
        <v>0</v>
      </c>
      <c r="R705" s="2" t="inlineStr"/>
    </row>
    <row r="706" ht="15" customHeight="1">
      <c r="A706" t="inlineStr">
        <is>
          <t>A 20464-2026</t>
        </is>
      </c>
      <c r="B706" s="1" t="n">
        <v>46140</v>
      </c>
      <c r="C706" s="1" t="n">
        <v>46192</v>
      </c>
      <c r="D706" t="inlineStr">
        <is>
          <t>SÖDERMANLANDS LÄN</t>
        </is>
      </c>
      <c r="E706" t="inlineStr">
        <is>
          <t>KATRINEHOLM</t>
        </is>
      </c>
      <c r="G706" t="n">
        <v>9.1</v>
      </c>
      <c r="H706" t="n">
        <v>0</v>
      </c>
      <c r="I706" t="n">
        <v>0</v>
      </c>
      <c r="J706" t="n">
        <v>0</v>
      </c>
      <c r="K706" t="n">
        <v>0</v>
      </c>
      <c r="L706" t="n">
        <v>0</v>
      </c>
      <c r="M706" t="n">
        <v>0</v>
      </c>
      <c r="N706" t="n">
        <v>0</v>
      </c>
      <c r="O706" t="n">
        <v>0</v>
      </c>
      <c r="P706" t="n">
        <v>0</v>
      </c>
      <c r="Q706" t="n">
        <v>0</v>
      </c>
      <c r="R706" s="2" t="inlineStr"/>
    </row>
    <row r="707" ht="15" customHeight="1">
      <c r="A707" t="inlineStr">
        <is>
          <t>A 2645-2026</t>
        </is>
      </c>
      <c r="B707" s="1" t="n">
        <v>46037</v>
      </c>
      <c r="C707" s="1" t="n">
        <v>46192</v>
      </c>
      <c r="D707" t="inlineStr">
        <is>
          <t>SÖDERMANLANDS LÄN</t>
        </is>
      </c>
      <c r="E707" t="inlineStr">
        <is>
          <t>KATRINEHOLM</t>
        </is>
      </c>
      <c r="G707" t="n">
        <v>2.1</v>
      </c>
      <c r="H707" t="n">
        <v>0</v>
      </c>
      <c r="I707" t="n">
        <v>0</v>
      </c>
      <c r="J707" t="n">
        <v>0</v>
      </c>
      <c r="K707" t="n">
        <v>0</v>
      </c>
      <c r="L707" t="n">
        <v>0</v>
      </c>
      <c r="M707" t="n">
        <v>0</v>
      </c>
      <c r="N707" t="n">
        <v>0</v>
      </c>
      <c r="O707" t="n">
        <v>0</v>
      </c>
      <c r="P707" t="n">
        <v>0</v>
      </c>
      <c r="Q707" t="n">
        <v>0</v>
      </c>
      <c r="R707" s="2" t="inlineStr"/>
    </row>
    <row r="708" ht="15" customHeight="1">
      <c r="A708" t="inlineStr">
        <is>
          <t>A 26498-2026</t>
        </is>
      </c>
      <c r="B708" s="1" t="n">
        <v>46183</v>
      </c>
      <c r="C708" s="1" t="n">
        <v>46192</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26483-2026</t>
        </is>
      </c>
      <c r="B709" s="1" t="n">
        <v>46183</v>
      </c>
      <c r="C709" s="1" t="n">
        <v>46192</v>
      </c>
      <c r="D709" t="inlineStr">
        <is>
          <t>SÖDERMANLANDS LÄN</t>
        </is>
      </c>
      <c r="E709" t="inlineStr">
        <is>
          <t>KATRINEHOLM</t>
        </is>
      </c>
      <c r="G709" t="n">
        <v>10.6</v>
      </c>
      <c r="H709" t="n">
        <v>0</v>
      </c>
      <c r="I709" t="n">
        <v>0</v>
      </c>
      <c r="J709" t="n">
        <v>0</v>
      </c>
      <c r="K709" t="n">
        <v>0</v>
      </c>
      <c r="L709" t="n">
        <v>0</v>
      </c>
      <c r="M709" t="n">
        <v>0</v>
      </c>
      <c r="N709" t="n">
        <v>0</v>
      </c>
      <c r="O709" t="n">
        <v>0</v>
      </c>
      <c r="P709" t="n">
        <v>0</v>
      </c>
      <c r="Q709" t="n">
        <v>0</v>
      </c>
      <c r="R709" s="2" t="inlineStr"/>
    </row>
    <row r="710" ht="15" customHeight="1">
      <c r="A710" t="inlineStr">
        <is>
          <t>A 28431-2024</t>
        </is>
      </c>
      <c r="B710" s="1" t="n">
        <v>45477</v>
      </c>
      <c r="C710" s="1" t="n">
        <v>46192</v>
      </c>
      <c r="D710" t="inlineStr">
        <is>
          <t>SÖDERMANLANDS LÄN</t>
        </is>
      </c>
      <c r="E710" t="inlineStr">
        <is>
          <t>KATRINEHOLM</t>
        </is>
      </c>
      <c r="G710" t="n">
        <v>3.5</v>
      </c>
      <c r="H710" t="n">
        <v>0</v>
      </c>
      <c r="I710" t="n">
        <v>0</v>
      </c>
      <c r="J710" t="n">
        <v>0</v>
      </c>
      <c r="K710" t="n">
        <v>0</v>
      </c>
      <c r="L710" t="n">
        <v>0</v>
      </c>
      <c r="M710" t="n">
        <v>0</v>
      </c>
      <c r="N710" t="n">
        <v>0</v>
      </c>
      <c r="O710" t="n">
        <v>0</v>
      </c>
      <c r="P710" t="n">
        <v>0</v>
      </c>
      <c r="Q710" t="n">
        <v>0</v>
      </c>
      <c r="R710" s="2" t="inlineStr"/>
    </row>
    <row r="711" ht="15" customHeight="1">
      <c r="A711" t="inlineStr">
        <is>
          <t>A 36590-2025</t>
        </is>
      </c>
      <c r="B711" s="1" t="n">
        <v>45870</v>
      </c>
      <c r="C711" s="1" t="n">
        <v>46192</v>
      </c>
      <c r="D711" t="inlineStr">
        <is>
          <t>SÖDERMANLANDS LÄN</t>
        </is>
      </c>
      <c r="E711" t="inlineStr">
        <is>
          <t>KATRINEHOLM</t>
        </is>
      </c>
      <c r="G711" t="n">
        <v>2</v>
      </c>
      <c r="H711" t="n">
        <v>0</v>
      </c>
      <c r="I711" t="n">
        <v>0</v>
      </c>
      <c r="J711" t="n">
        <v>0</v>
      </c>
      <c r="K711" t="n">
        <v>0</v>
      </c>
      <c r="L711" t="n">
        <v>0</v>
      </c>
      <c r="M711" t="n">
        <v>0</v>
      </c>
      <c r="N711" t="n">
        <v>0</v>
      </c>
      <c r="O711" t="n">
        <v>0</v>
      </c>
      <c r="P711" t="n">
        <v>0</v>
      </c>
      <c r="Q711" t="n">
        <v>0</v>
      </c>
      <c r="R711" s="2" t="inlineStr"/>
    </row>
    <row r="712" ht="15" customHeight="1">
      <c r="A712" t="inlineStr">
        <is>
          <t>A 38019-2022</t>
        </is>
      </c>
      <c r="B712" s="1" t="n">
        <v>44811</v>
      </c>
      <c r="C712" s="1" t="n">
        <v>46192</v>
      </c>
      <c r="D712" t="inlineStr">
        <is>
          <t>SÖDERMANLANDS LÄN</t>
        </is>
      </c>
      <c r="E712" t="inlineStr">
        <is>
          <t>KATRINEHOLM</t>
        </is>
      </c>
      <c r="G712" t="n">
        <v>5.8</v>
      </c>
      <c r="H712" t="n">
        <v>0</v>
      </c>
      <c r="I712" t="n">
        <v>0</v>
      </c>
      <c r="J712" t="n">
        <v>0</v>
      </c>
      <c r="K712" t="n">
        <v>0</v>
      </c>
      <c r="L712" t="n">
        <v>0</v>
      </c>
      <c r="M712" t="n">
        <v>0</v>
      </c>
      <c r="N712" t="n">
        <v>0</v>
      </c>
      <c r="O712" t="n">
        <v>0</v>
      </c>
      <c r="P712" t="n">
        <v>0</v>
      </c>
      <c r="Q712" t="n">
        <v>0</v>
      </c>
      <c r="R712" s="2" t="inlineStr"/>
    </row>
    <row r="713" ht="15" customHeight="1">
      <c r="A713" t="inlineStr">
        <is>
          <t>A 26491-2026</t>
        </is>
      </c>
      <c r="B713" s="1" t="n">
        <v>46183</v>
      </c>
      <c r="C713" s="1" t="n">
        <v>46192</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20956-2026</t>
        </is>
      </c>
      <c r="B714" s="1" t="n">
        <v>46142</v>
      </c>
      <c r="C714" s="1" t="n">
        <v>46192</v>
      </c>
      <c r="D714" t="inlineStr">
        <is>
          <t>SÖDERMANLANDS LÄN</t>
        </is>
      </c>
      <c r="E714" t="inlineStr">
        <is>
          <t>KATRINEHOLM</t>
        </is>
      </c>
      <c r="G714" t="n">
        <v>3.6</v>
      </c>
      <c r="H714" t="n">
        <v>0</v>
      </c>
      <c r="I714" t="n">
        <v>0</v>
      </c>
      <c r="J714" t="n">
        <v>0</v>
      </c>
      <c r="K714" t="n">
        <v>0</v>
      </c>
      <c r="L714" t="n">
        <v>0</v>
      </c>
      <c r="M714" t="n">
        <v>0</v>
      </c>
      <c r="N714" t="n">
        <v>0</v>
      </c>
      <c r="O714" t="n">
        <v>0</v>
      </c>
      <c r="P714" t="n">
        <v>0</v>
      </c>
      <c r="Q714" t="n">
        <v>0</v>
      </c>
      <c r="R714" s="2" t="inlineStr"/>
    </row>
    <row r="715" ht="15" customHeight="1">
      <c r="A715" t="inlineStr">
        <is>
          <t>A 26553-2026</t>
        </is>
      </c>
      <c r="B715" s="1" t="n">
        <v>46183</v>
      </c>
      <c r="C715" s="1" t="n">
        <v>46192</v>
      </c>
      <c r="D715" t="inlineStr">
        <is>
          <t>SÖDERMANLANDS LÄN</t>
        </is>
      </c>
      <c r="E715" t="inlineStr">
        <is>
          <t>KATRINEHOLM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20987-2026</t>
        </is>
      </c>
      <c r="B716" s="1" t="n">
        <v>46142</v>
      </c>
      <c r="C716" s="1" t="n">
        <v>46192</v>
      </c>
      <c r="D716" t="inlineStr">
        <is>
          <t>SÖDERMANLANDS LÄN</t>
        </is>
      </c>
      <c r="E716" t="inlineStr">
        <is>
          <t>KATRINEHOLM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27109-2026</t>
        </is>
      </c>
      <c r="B717" s="1" t="n">
        <v>46188</v>
      </c>
      <c r="C717" s="1" t="n">
        <v>46192</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28317-2024</t>
        </is>
      </c>
      <c r="B718" s="1" t="n">
        <v>45477</v>
      </c>
      <c r="C718" s="1" t="n">
        <v>46192</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21087-2026</t>
        </is>
      </c>
      <c r="B719" s="1" t="n">
        <v>46146</v>
      </c>
      <c r="C719" s="1" t="n">
        <v>46192</v>
      </c>
      <c r="D719" t="inlineStr">
        <is>
          <t>SÖDERMANLANDS LÄN</t>
        </is>
      </c>
      <c r="E719" t="inlineStr">
        <is>
          <t>KATRINEHOLM</t>
        </is>
      </c>
      <c r="G719" t="n">
        <v>1.4</v>
      </c>
      <c r="H719" t="n">
        <v>0</v>
      </c>
      <c r="I719" t="n">
        <v>0</v>
      </c>
      <c r="J719" t="n">
        <v>0</v>
      </c>
      <c r="K719" t="n">
        <v>0</v>
      </c>
      <c r="L719" t="n">
        <v>0</v>
      </c>
      <c r="M719" t="n">
        <v>0</v>
      </c>
      <c r="N719" t="n">
        <v>0</v>
      </c>
      <c r="O719" t="n">
        <v>0</v>
      </c>
      <c r="P719" t="n">
        <v>0</v>
      </c>
      <c r="Q719" t="n">
        <v>0</v>
      </c>
      <c r="R719" s="2" t="inlineStr"/>
    </row>
    <row r="720">
      <c r="A720" t="inlineStr">
        <is>
          <t>A 52744-2025</t>
        </is>
      </c>
      <c r="B720" s="1" t="n">
        <v>45957</v>
      </c>
      <c r="C720" s="1" t="n">
        <v>46192</v>
      </c>
      <c r="D720" t="inlineStr">
        <is>
          <t>SÖDERMANLANDS LÄN</t>
        </is>
      </c>
      <c r="E720" t="inlineStr">
        <is>
          <t>KATRINEHOLM</t>
        </is>
      </c>
      <c r="G720" t="n">
        <v>4</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2026-06-19T00:46:58Z</dcterms:created>
  <dcterms:modified xmlns:dcterms="http://purl.org/dc/terms/" xmlns:xsi="http://www.w3.org/2001/XMLSchema-instance" xsi:type="dcterms:W3CDTF">2026-06-19T00:46:58Z</dcterms:modified>
</cp:coreProperties>
</file>