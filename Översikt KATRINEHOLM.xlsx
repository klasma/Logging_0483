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45888</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45888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45888</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35137-2025</t>
        </is>
      </c>
      <c r="B9" s="1" t="n">
        <v>45852</v>
      </c>
      <c r="C9" s="1" t="n">
        <v>45888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45888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45888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45888</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54002-2022</t>
        </is>
      </c>
      <c r="B13" s="1" t="n">
        <v>44876</v>
      </c>
      <c r="C13" s="1" t="n">
        <v>45888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52453-2023</t>
        </is>
      </c>
      <c r="B14" s="1" t="n">
        <v>45225</v>
      </c>
      <c r="C14" s="1" t="n">
        <v>45888</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45888</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45888</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45888</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45888</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45888</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45888</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45888</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45888</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37537-2022</t>
        </is>
      </c>
      <c r="B24" s="1" t="n">
        <v>44809</v>
      </c>
      <c r="C24" s="1" t="n">
        <v>45888</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53471-2024</t>
        </is>
      </c>
      <c r="B25" s="1" t="n">
        <v>45614.55686342593</v>
      </c>
      <c r="C25" s="1" t="n">
        <v>45888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45888</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45888</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45888</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45888</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45888</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45888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45888</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45888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45888</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45888</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28985-2022</t>
        </is>
      </c>
      <c r="B40" s="1" t="n">
        <v>44749</v>
      </c>
      <c r="C40" s="1" t="n">
        <v>45888</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47989-2020</t>
        </is>
      </c>
      <c r="B41" s="1" t="n">
        <v>44099</v>
      </c>
      <c r="C41" s="1" t="n">
        <v>45888</v>
      </c>
      <c r="D41" t="inlineStr">
        <is>
          <t>SÖDERMANLANDS LÄN</t>
        </is>
      </c>
      <c r="E41" t="inlineStr">
        <is>
          <t>KATRINEHOLM</t>
        </is>
      </c>
      <c r="F41" t="inlineStr">
        <is>
          <t>Övriga statliga verk och myndigheter</t>
        </is>
      </c>
      <c r="G41" t="n">
        <v>4.7</v>
      </c>
      <c r="H41" t="n">
        <v>0</v>
      </c>
      <c r="I41" t="n">
        <v>1</v>
      </c>
      <c r="J41" t="n">
        <v>0</v>
      </c>
      <c r="K41" t="n">
        <v>0</v>
      </c>
      <c r="L41" t="n">
        <v>0</v>
      </c>
      <c r="M41" t="n">
        <v>0</v>
      </c>
      <c r="N41" t="n">
        <v>0</v>
      </c>
      <c r="O41" t="n">
        <v>0</v>
      </c>
      <c r="P41" t="n">
        <v>0</v>
      </c>
      <c r="Q41" t="n">
        <v>1</v>
      </c>
      <c r="R41" s="2" t="inlineStr">
        <is>
          <t>Stubbspretmossa</t>
        </is>
      </c>
      <c r="S41">
        <f>HYPERLINK("https://klasma.github.io/Logging_0483/artfynd/A 47989-2020 artfynd.xlsx", "A 47989-2020")</f>
        <v/>
      </c>
      <c r="T41">
        <f>HYPERLINK("https://klasma.github.io/Logging_0483/kartor/A 47989-2020 karta.png", "A 47989-2020")</f>
        <v/>
      </c>
      <c r="V41">
        <f>HYPERLINK("https://klasma.github.io/Logging_0483/klagomål/A 47989-2020 FSC-klagomål.docx", "A 47989-2020")</f>
        <v/>
      </c>
      <c r="W41">
        <f>HYPERLINK("https://klasma.github.io/Logging_0483/klagomålsmail/A 47989-2020 FSC-klagomål mail.docx", "A 47989-2020")</f>
        <v/>
      </c>
      <c r="X41">
        <f>HYPERLINK("https://klasma.github.io/Logging_0483/tillsyn/A 47989-2020 tillsynsbegäran.docx", "A 47989-2020")</f>
        <v/>
      </c>
      <c r="Y41">
        <f>HYPERLINK("https://klasma.github.io/Logging_0483/tillsynsmail/A 47989-2020 tillsynsbegäran mail.docx", "A 47989-2020")</f>
        <v/>
      </c>
    </row>
    <row r="42" ht="15" customHeight="1">
      <c r="A42" t="inlineStr">
        <is>
          <t>A 42745-2022</t>
        </is>
      </c>
      <c r="B42" s="1" t="n">
        <v>44831</v>
      </c>
      <c r="C42" s="1" t="n">
        <v>45888</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57519-2021</t>
        </is>
      </c>
      <c r="B43" s="1" t="n">
        <v>44483</v>
      </c>
      <c r="C43" s="1" t="n">
        <v>45888</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22474-2025</t>
        </is>
      </c>
      <c r="B44" s="1" t="n">
        <v>45786.62152777778</v>
      </c>
      <c r="C44" s="1" t="n">
        <v>45888</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45888</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53154-2023</t>
        </is>
      </c>
      <c r="B46" s="1" t="n">
        <v>45229</v>
      </c>
      <c r="C46" s="1" t="n">
        <v>45888</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6076-2022</t>
        </is>
      </c>
      <c r="B47" s="1" t="n">
        <v>44599</v>
      </c>
      <c r="C47" s="1" t="n">
        <v>45888</v>
      </c>
      <c r="D47" t="inlineStr">
        <is>
          <t>SÖDERMANLANDS LÄN</t>
        </is>
      </c>
      <c r="E47" t="inlineStr">
        <is>
          <t>KATRINEHOLM</t>
        </is>
      </c>
      <c r="G47" t="n">
        <v>3.3</v>
      </c>
      <c r="H47" t="n">
        <v>0</v>
      </c>
      <c r="I47" t="n">
        <v>1</v>
      </c>
      <c r="J47" t="n">
        <v>0</v>
      </c>
      <c r="K47" t="n">
        <v>0</v>
      </c>
      <c r="L47" t="n">
        <v>0</v>
      </c>
      <c r="M47" t="n">
        <v>0</v>
      </c>
      <c r="N47" t="n">
        <v>0</v>
      </c>
      <c r="O47" t="n">
        <v>0</v>
      </c>
      <c r="P47" t="n">
        <v>0</v>
      </c>
      <c r="Q47" t="n">
        <v>1</v>
      </c>
      <c r="R47" s="2" t="inlineStr">
        <is>
          <t>Svart trolldruva</t>
        </is>
      </c>
      <c r="S47">
        <f>HYPERLINK("https://klasma.github.io/Logging_0483/artfynd/A 6076-2022 artfynd.xlsx", "A 6076-2022")</f>
        <v/>
      </c>
      <c r="T47">
        <f>HYPERLINK("https://klasma.github.io/Logging_0483/kartor/A 6076-2022 karta.png", "A 6076-2022")</f>
        <v/>
      </c>
      <c r="V47">
        <f>HYPERLINK("https://klasma.github.io/Logging_0483/klagomål/A 6076-2022 FSC-klagomål.docx", "A 6076-2022")</f>
        <v/>
      </c>
      <c r="W47">
        <f>HYPERLINK("https://klasma.github.io/Logging_0483/klagomålsmail/A 6076-2022 FSC-klagomål mail.docx", "A 6076-2022")</f>
        <v/>
      </c>
      <c r="X47">
        <f>HYPERLINK("https://klasma.github.io/Logging_0483/tillsyn/A 6076-2022 tillsynsbegäran.docx", "A 6076-2022")</f>
        <v/>
      </c>
      <c r="Y47">
        <f>HYPERLINK("https://klasma.github.io/Logging_0483/tillsynsmail/A 6076-2022 tillsynsbegäran mail.docx", "A 6076-2022")</f>
        <v/>
      </c>
    </row>
    <row r="48" ht="15" customHeight="1">
      <c r="A48" t="inlineStr">
        <is>
          <t>A 12238-2023</t>
        </is>
      </c>
      <c r="B48" s="1" t="n">
        <v>44995</v>
      </c>
      <c r="C48" s="1" t="n">
        <v>45888</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45888</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35163-2025</t>
        </is>
      </c>
      <c r="B50" s="1" t="n">
        <v>45852.71136574074</v>
      </c>
      <c r="C50" s="1" t="n">
        <v>45888</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27926-2025</t>
        </is>
      </c>
      <c r="B51" s="1" t="n">
        <v>45814</v>
      </c>
      <c r="C51" s="1" t="n">
        <v>45888</v>
      </c>
      <c r="D51" t="inlineStr">
        <is>
          <t>SÖDERMANLANDS LÄN</t>
        </is>
      </c>
      <c r="E51" t="inlineStr">
        <is>
          <t>KATRINEHOLM</t>
        </is>
      </c>
      <c r="F51" t="inlineStr">
        <is>
          <t>Allmännings- och besparingsskogar</t>
        </is>
      </c>
      <c r="G51" t="n">
        <v>10.7</v>
      </c>
      <c r="H51" t="n">
        <v>1</v>
      </c>
      <c r="I51" t="n">
        <v>0</v>
      </c>
      <c r="J51" t="n">
        <v>0</v>
      </c>
      <c r="K51" t="n">
        <v>0</v>
      </c>
      <c r="L51" t="n">
        <v>0</v>
      </c>
      <c r="M51" t="n">
        <v>0</v>
      </c>
      <c r="N51" t="n">
        <v>0</v>
      </c>
      <c r="O51" t="n">
        <v>0</v>
      </c>
      <c r="P51" t="n">
        <v>0</v>
      </c>
      <c r="Q51" t="n">
        <v>1</v>
      </c>
      <c r="R51" s="2" t="inlineStr">
        <is>
          <t>Revlummer</t>
        </is>
      </c>
      <c r="S51">
        <f>HYPERLINK("https://klasma.github.io/Logging_0483/artfynd/A 27926-2025 artfynd.xlsx", "A 27926-2025")</f>
        <v/>
      </c>
      <c r="T51">
        <f>HYPERLINK("https://klasma.github.io/Logging_0483/kartor/A 27926-2025 karta.png", "A 27926-2025")</f>
        <v/>
      </c>
      <c r="V51">
        <f>HYPERLINK("https://klasma.github.io/Logging_0483/klagomål/A 27926-2025 FSC-klagomål.docx", "A 27926-2025")</f>
        <v/>
      </c>
      <c r="W51">
        <f>HYPERLINK("https://klasma.github.io/Logging_0483/klagomålsmail/A 27926-2025 FSC-klagomål mail.docx", "A 27926-2025")</f>
        <v/>
      </c>
      <c r="X51">
        <f>HYPERLINK("https://klasma.github.io/Logging_0483/tillsyn/A 27926-2025 tillsynsbegäran.docx", "A 27926-2025")</f>
        <v/>
      </c>
      <c r="Y51">
        <f>HYPERLINK("https://klasma.github.io/Logging_0483/tillsynsmail/A 27926-2025 tillsynsbegäran mail.docx", "A 27926-2025")</f>
        <v/>
      </c>
    </row>
    <row r="52" ht="15" customHeight="1">
      <c r="A52" t="inlineStr">
        <is>
          <t>A 36220-2022</t>
        </is>
      </c>
      <c r="B52" s="1" t="n">
        <v>44803</v>
      </c>
      <c r="C52" s="1" t="n">
        <v>45888</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33801-2023</t>
        </is>
      </c>
      <c r="B53" s="1" t="n">
        <v>45133</v>
      </c>
      <c r="C53" s="1" t="n">
        <v>45888</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Blåsippa</t>
        </is>
      </c>
      <c r="S53">
        <f>HYPERLINK("https://klasma.github.io/Logging_0483/artfynd/A 33801-2023 artfynd.xlsx", "A 33801-2023")</f>
        <v/>
      </c>
      <c r="T53">
        <f>HYPERLINK("https://klasma.github.io/Logging_0483/kartor/A 33801-2023 karta.png", "A 33801-2023")</f>
        <v/>
      </c>
      <c r="V53">
        <f>HYPERLINK("https://klasma.github.io/Logging_0483/klagomål/A 33801-2023 FSC-klagomål.docx", "A 33801-2023")</f>
        <v/>
      </c>
      <c r="W53">
        <f>HYPERLINK("https://klasma.github.io/Logging_0483/klagomålsmail/A 33801-2023 FSC-klagomål mail.docx", "A 33801-2023")</f>
        <v/>
      </c>
      <c r="X53">
        <f>HYPERLINK("https://klasma.github.io/Logging_0483/tillsyn/A 33801-2023 tillsynsbegäran.docx", "A 33801-2023")</f>
        <v/>
      </c>
      <c r="Y53">
        <f>HYPERLINK("https://klasma.github.io/Logging_0483/tillsynsmail/A 33801-2023 tillsynsbegäran mail.docx", "A 33801-2023")</f>
        <v/>
      </c>
    </row>
    <row r="54" ht="15" customHeight="1">
      <c r="A54" t="inlineStr">
        <is>
          <t>A 11890-2023</t>
        </is>
      </c>
      <c r="B54" s="1" t="n">
        <v>44995</v>
      </c>
      <c r="C54" s="1" t="n">
        <v>45888</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56074-2022</t>
        </is>
      </c>
      <c r="B55" s="1" t="n">
        <v>44889</v>
      </c>
      <c r="C55" s="1" t="n">
        <v>45888</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36856-2021</t>
        </is>
      </c>
      <c r="B56" s="1" t="n">
        <v>44393</v>
      </c>
      <c r="C56" s="1" t="n">
        <v>45888</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45888</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45888</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45888</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45888</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45888</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45888</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45888</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45888</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45888</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45888</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45888</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45888</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4533-2021</t>
        </is>
      </c>
      <c r="B69" s="1" t="n">
        <v>44223</v>
      </c>
      <c r="C69" s="1" t="n">
        <v>45888</v>
      </c>
      <c r="D69" t="inlineStr">
        <is>
          <t>SÖDERMANLANDS LÄN</t>
        </is>
      </c>
      <c r="E69" t="inlineStr">
        <is>
          <t>KATRINEHOLM</t>
        </is>
      </c>
      <c r="G69" t="n">
        <v>1.9</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45888</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45888</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45888</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45888</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45888</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45888</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45888</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45888</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45888</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45888</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45888</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45888</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45888</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45888</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45888</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45888</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45888</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45888</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45888</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45888</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45888</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45888</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45888</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45888</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45888</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45888</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45888</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45888</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45888</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45888</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45888</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45888</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45888</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45888</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45888</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45888</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45888</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45888</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45888</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45888</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45888</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45888</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45888</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45888</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45888</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45888</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45888</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45888</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45888</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45888</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45888</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45888</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45888</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12658-2022</t>
        </is>
      </c>
      <c r="B150" s="1" t="n">
        <v>44641</v>
      </c>
      <c r="C150" s="1" t="n">
        <v>45888</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46412-2022</t>
        </is>
      </c>
      <c r="B151" s="1" t="n">
        <v>44848.42216435185</v>
      </c>
      <c r="C151" s="1" t="n">
        <v>45888</v>
      </c>
      <c r="D151" t="inlineStr">
        <is>
          <t>SÖDERMANLANDS LÄN</t>
        </is>
      </c>
      <c r="E151" t="inlineStr">
        <is>
          <t>KATRINEHOLM</t>
        </is>
      </c>
      <c r="G151" t="n">
        <v>0.8</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45888</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45888</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45888</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45888</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45888</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49677-2021</t>
        </is>
      </c>
      <c r="B157" s="1" t="n">
        <v>44455</v>
      </c>
      <c r="C157" s="1" t="n">
        <v>45888</v>
      </c>
      <c r="D157" t="inlineStr">
        <is>
          <t>SÖDERMANLANDS LÄN</t>
        </is>
      </c>
      <c r="E157" t="inlineStr">
        <is>
          <t>KATRINEHOLM</t>
        </is>
      </c>
      <c r="G157" t="n">
        <v>2.1</v>
      </c>
      <c r="H157" t="n">
        <v>0</v>
      </c>
      <c r="I157" t="n">
        <v>0</v>
      </c>
      <c r="J157" t="n">
        <v>0</v>
      </c>
      <c r="K157" t="n">
        <v>0</v>
      </c>
      <c r="L157" t="n">
        <v>0</v>
      </c>
      <c r="M157" t="n">
        <v>0</v>
      </c>
      <c r="N157" t="n">
        <v>0</v>
      </c>
      <c r="O157" t="n">
        <v>0</v>
      </c>
      <c r="P157" t="n">
        <v>0</v>
      </c>
      <c r="Q157" t="n">
        <v>0</v>
      </c>
      <c r="R157" s="2" t="inlineStr"/>
    </row>
    <row r="158" ht="15" customHeight="1">
      <c r="A158" t="inlineStr">
        <is>
          <t>A 49735-2021</t>
        </is>
      </c>
      <c r="B158" s="1" t="n">
        <v>44455</v>
      </c>
      <c r="C158" s="1" t="n">
        <v>45888</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44872.57288194444</v>
      </c>
      <c r="C159" s="1" t="n">
        <v>45888</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38607-2021</t>
        </is>
      </c>
      <c r="B160" s="1" t="n">
        <v>44409.41428240741</v>
      </c>
      <c r="C160" s="1" t="n">
        <v>45888</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38606-2021</t>
        </is>
      </c>
      <c r="B161" s="1" t="n">
        <v>44409.40363425926</v>
      </c>
      <c r="C161" s="1" t="n">
        <v>45888</v>
      </c>
      <c r="D161" t="inlineStr">
        <is>
          <t>SÖDERMANLANDS LÄN</t>
        </is>
      </c>
      <c r="E161" t="inlineStr">
        <is>
          <t>KATRINEHOLM</t>
        </is>
      </c>
      <c r="G161" t="n">
        <v>2.2</v>
      </c>
      <c r="H161" t="n">
        <v>0</v>
      </c>
      <c r="I161" t="n">
        <v>0</v>
      </c>
      <c r="J161" t="n">
        <v>0</v>
      </c>
      <c r="K161" t="n">
        <v>0</v>
      </c>
      <c r="L161" t="n">
        <v>0</v>
      </c>
      <c r="M161" t="n">
        <v>0</v>
      </c>
      <c r="N161" t="n">
        <v>0</v>
      </c>
      <c r="O161" t="n">
        <v>0</v>
      </c>
      <c r="P161" t="n">
        <v>0</v>
      </c>
      <c r="Q161" t="n">
        <v>0</v>
      </c>
      <c r="R161" s="2" t="inlineStr"/>
    </row>
    <row r="162" ht="15" customHeight="1">
      <c r="A162" t="inlineStr">
        <is>
          <t>A 9419-2022</t>
        </is>
      </c>
      <c r="B162" s="1" t="n">
        <v>44616</v>
      </c>
      <c r="C162" s="1" t="n">
        <v>45888</v>
      </c>
      <c r="D162" t="inlineStr">
        <is>
          <t>SÖDERMANLANDS LÄN</t>
        </is>
      </c>
      <c r="E162" t="inlineStr">
        <is>
          <t>KATRINEHOLM</t>
        </is>
      </c>
      <c r="F162" t="inlineStr">
        <is>
          <t>Övriga Aktiebolag</t>
        </is>
      </c>
      <c r="G162" t="n">
        <v>1.7</v>
      </c>
      <c r="H162" t="n">
        <v>0</v>
      </c>
      <c r="I162" t="n">
        <v>0</v>
      </c>
      <c r="J162" t="n">
        <v>0</v>
      </c>
      <c r="K162" t="n">
        <v>0</v>
      </c>
      <c r="L162" t="n">
        <v>0</v>
      </c>
      <c r="M162" t="n">
        <v>0</v>
      </c>
      <c r="N162" t="n">
        <v>0</v>
      </c>
      <c r="O162" t="n">
        <v>0</v>
      </c>
      <c r="P162" t="n">
        <v>0</v>
      </c>
      <c r="Q162" t="n">
        <v>0</v>
      </c>
      <c r="R162" s="2" t="inlineStr"/>
    </row>
    <row r="163" ht="15" customHeight="1">
      <c r="A163" t="inlineStr">
        <is>
          <t>A 51885-2022</t>
        </is>
      </c>
      <c r="B163" s="1" t="n">
        <v>44872.60384259259</v>
      </c>
      <c r="C163" s="1" t="n">
        <v>45888</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42735-2022</t>
        </is>
      </c>
      <c r="B164" s="1" t="n">
        <v>44832</v>
      </c>
      <c r="C164" s="1" t="n">
        <v>45888</v>
      </c>
      <c r="D164" t="inlineStr">
        <is>
          <t>SÖDERMANLANDS LÄN</t>
        </is>
      </c>
      <c r="E164" t="inlineStr">
        <is>
          <t>KATRINEHOLM</t>
        </is>
      </c>
      <c r="G164" t="n">
        <v>0.5</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45888</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45888</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45038-2022</t>
        </is>
      </c>
      <c r="B167" s="1" t="n">
        <v>44840</v>
      </c>
      <c r="C167" s="1" t="n">
        <v>45888</v>
      </c>
      <c r="D167" t="inlineStr">
        <is>
          <t>SÖDERMANLANDS LÄN</t>
        </is>
      </c>
      <c r="E167" t="inlineStr">
        <is>
          <t>KATRINEHOLM</t>
        </is>
      </c>
      <c r="G167" t="n">
        <v>3.6</v>
      </c>
      <c r="H167" t="n">
        <v>0</v>
      </c>
      <c r="I167" t="n">
        <v>0</v>
      </c>
      <c r="J167" t="n">
        <v>0</v>
      </c>
      <c r="K167" t="n">
        <v>0</v>
      </c>
      <c r="L167" t="n">
        <v>0</v>
      </c>
      <c r="M167" t="n">
        <v>0</v>
      </c>
      <c r="N167" t="n">
        <v>0</v>
      </c>
      <c r="O167" t="n">
        <v>0</v>
      </c>
      <c r="P167" t="n">
        <v>0</v>
      </c>
      <c r="Q167" t="n">
        <v>0</v>
      </c>
      <c r="R167" s="2" t="inlineStr"/>
    </row>
    <row r="168" ht="15" customHeight="1">
      <c r="A168" t="inlineStr">
        <is>
          <t>A 59212-2021</t>
        </is>
      </c>
      <c r="B168" s="1" t="n">
        <v>44490.60873842592</v>
      </c>
      <c r="C168" s="1" t="n">
        <v>45888</v>
      </c>
      <c r="D168" t="inlineStr">
        <is>
          <t>SÖDERMANLANDS LÄN</t>
        </is>
      </c>
      <c r="E168" t="inlineStr">
        <is>
          <t>KATRINEHOLM</t>
        </is>
      </c>
      <c r="G168" t="n">
        <v>2.6</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45888</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7550-2022</t>
        </is>
      </c>
      <c r="B170" s="1" t="n">
        <v>44607</v>
      </c>
      <c r="C170" s="1" t="n">
        <v>45888</v>
      </c>
      <c r="D170" t="inlineStr">
        <is>
          <t>SÖDERMANLANDS LÄN</t>
        </is>
      </c>
      <c r="E170" t="inlineStr">
        <is>
          <t>KATRINEHOLM</t>
        </is>
      </c>
      <c r="G170" t="n">
        <v>1.2</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45888</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38883-2020</t>
        </is>
      </c>
      <c r="B172" s="1" t="n">
        <v>44062</v>
      </c>
      <c r="C172" s="1" t="n">
        <v>45888</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51602-2022</t>
        </is>
      </c>
      <c r="B173" s="1" t="n">
        <v>44871.69347222222</v>
      </c>
      <c r="C173" s="1" t="n">
        <v>45888</v>
      </c>
      <c r="D173" t="inlineStr">
        <is>
          <t>SÖDERMANLANDS LÄN</t>
        </is>
      </c>
      <c r="E173" t="inlineStr">
        <is>
          <t>KATRINEHOLM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45888</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45888</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11070-2021</t>
        </is>
      </c>
      <c r="B176" s="1" t="n">
        <v>44260</v>
      </c>
      <c r="C176" s="1" t="n">
        <v>45888</v>
      </c>
      <c r="D176" t="inlineStr">
        <is>
          <t>SÖDERMANLANDS LÄN</t>
        </is>
      </c>
      <c r="E176" t="inlineStr">
        <is>
          <t>KATRINEHOLM</t>
        </is>
      </c>
      <c r="F176" t="inlineStr">
        <is>
          <t>Allmännings- och besparingsskogar</t>
        </is>
      </c>
      <c r="G176" t="n">
        <v>2.9</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45888</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25893-2022</t>
        </is>
      </c>
      <c r="B178" s="1" t="n">
        <v>44733.77543981482</v>
      </c>
      <c r="C178" s="1" t="n">
        <v>45888</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24199-2022</t>
        </is>
      </c>
      <c r="B179" s="1" t="n">
        <v>44725</v>
      </c>
      <c r="C179" s="1" t="n">
        <v>45888</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38835-2021</t>
        </is>
      </c>
      <c r="B180" s="1" t="n">
        <v>44411</v>
      </c>
      <c r="C180" s="1" t="n">
        <v>45888</v>
      </c>
      <c r="D180" t="inlineStr">
        <is>
          <t>SÖDERMANLANDS LÄN</t>
        </is>
      </c>
      <c r="E180" t="inlineStr">
        <is>
          <t>KATRINEHOLM</t>
        </is>
      </c>
      <c r="G180" t="n">
        <v>10.2</v>
      </c>
      <c r="H180" t="n">
        <v>0</v>
      </c>
      <c r="I180" t="n">
        <v>0</v>
      </c>
      <c r="J180" t="n">
        <v>0</v>
      </c>
      <c r="K180" t="n">
        <v>0</v>
      </c>
      <c r="L180" t="n">
        <v>0</v>
      </c>
      <c r="M180" t="n">
        <v>0</v>
      </c>
      <c r="N180" t="n">
        <v>0</v>
      </c>
      <c r="O180" t="n">
        <v>0</v>
      </c>
      <c r="P180" t="n">
        <v>0</v>
      </c>
      <c r="Q180" t="n">
        <v>0</v>
      </c>
      <c r="R180" s="2" t="inlineStr"/>
    </row>
    <row r="181" ht="15" customHeight="1">
      <c r="A181" t="inlineStr">
        <is>
          <t>A 68206-2021</t>
        </is>
      </c>
      <c r="B181" s="1" t="n">
        <v>44526</v>
      </c>
      <c r="C181" s="1" t="n">
        <v>45888</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69429-2021</t>
        </is>
      </c>
      <c r="B182" s="1" t="n">
        <v>44531</v>
      </c>
      <c r="C182" s="1" t="n">
        <v>45888</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57745-2020</t>
        </is>
      </c>
      <c r="B183" s="1" t="n">
        <v>44141</v>
      </c>
      <c r="C183" s="1" t="n">
        <v>45888</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2877-2022</t>
        </is>
      </c>
      <c r="B184" s="1" t="n">
        <v>44581</v>
      </c>
      <c r="C184" s="1" t="n">
        <v>45888</v>
      </c>
      <c r="D184" t="inlineStr">
        <is>
          <t>SÖDERMANLANDS LÄN</t>
        </is>
      </c>
      <c r="E184" t="inlineStr">
        <is>
          <t>KATRINEHOLM</t>
        </is>
      </c>
      <c r="G184" t="n">
        <v>10.3</v>
      </c>
      <c r="H184" t="n">
        <v>0</v>
      </c>
      <c r="I184" t="n">
        <v>0</v>
      </c>
      <c r="J184" t="n">
        <v>0</v>
      </c>
      <c r="K184" t="n">
        <v>0</v>
      </c>
      <c r="L184" t="n">
        <v>0</v>
      </c>
      <c r="M184" t="n">
        <v>0</v>
      </c>
      <c r="N184" t="n">
        <v>0</v>
      </c>
      <c r="O184" t="n">
        <v>0</v>
      </c>
      <c r="P184" t="n">
        <v>0</v>
      </c>
      <c r="Q184" t="n">
        <v>0</v>
      </c>
      <c r="R184" s="2" t="inlineStr"/>
    </row>
    <row r="185" ht="15" customHeight="1">
      <c r="A185" t="inlineStr">
        <is>
          <t>A 34625-2022</t>
        </is>
      </c>
      <c r="B185" s="1" t="n">
        <v>44795.44392361111</v>
      </c>
      <c r="C185" s="1" t="n">
        <v>45888</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7189-2022</t>
        </is>
      </c>
      <c r="B186" s="1" t="n">
        <v>44605</v>
      </c>
      <c r="C186" s="1" t="n">
        <v>45888</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33753-2022</t>
        </is>
      </c>
      <c r="B187" s="1" t="n">
        <v>44789</v>
      </c>
      <c r="C187" s="1" t="n">
        <v>45888</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54698-2021</t>
        </is>
      </c>
      <c r="B188" s="1" t="n">
        <v>44473</v>
      </c>
      <c r="C188" s="1" t="n">
        <v>45888</v>
      </c>
      <c r="D188" t="inlineStr">
        <is>
          <t>SÖDERMANLANDS LÄN</t>
        </is>
      </c>
      <c r="E188" t="inlineStr">
        <is>
          <t>KATRINEHOLM</t>
        </is>
      </c>
      <c r="F188" t="inlineStr">
        <is>
          <t>Holmen skog AB</t>
        </is>
      </c>
      <c r="G188" t="n">
        <v>1.7</v>
      </c>
      <c r="H188" t="n">
        <v>0</v>
      </c>
      <c r="I188" t="n">
        <v>0</v>
      </c>
      <c r="J188" t="n">
        <v>0</v>
      </c>
      <c r="K188" t="n">
        <v>0</v>
      </c>
      <c r="L188" t="n">
        <v>0</v>
      </c>
      <c r="M188" t="n">
        <v>0</v>
      </c>
      <c r="N188" t="n">
        <v>0</v>
      </c>
      <c r="O188" t="n">
        <v>0</v>
      </c>
      <c r="P188" t="n">
        <v>0</v>
      </c>
      <c r="Q188" t="n">
        <v>0</v>
      </c>
      <c r="R188" s="2" t="inlineStr"/>
    </row>
    <row r="189" ht="15" customHeight="1">
      <c r="A189" t="inlineStr">
        <is>
          <t>A 41642-2022</t>
        </is>
      </c>
      <c r="B189" s="1" t="n">
        <v>44827</v>
      </c>
      <c r="C189" s="1" t="n">
        <v>45888</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60596-2021</t>
        </is>
      </c>
      <c r="B190" s="1" t="n">
        <v>44496.58033564815</v>
      </c>
      <c r="C190" s="1" t="n">
        <v>45888</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53791-2021</t>
        </is>
      </c>
      <c r="B191" s="1" t="n">
        <v>44467</v>
      </c>
      <c r="C191" s="1" t="n">
        <v>45888</v>
      </c>
      <c r="D191" t="inlineStr">
        <is>
          <t>SÖDERMANLANDS LÄN</t>
        </is>
      </c>
      <c r="E191" t="inlineStr">
        <is>
          <t>KATRINEHOLM</t>
        </is>
      </c>
      <c r="G191" t="n">
        <v>2.7</v>
      </c>
      <c r="H191" t="n">
        <v>0</v>
      </c>
      <c r="I191" t="n">
        <v>0</v>
      </c>
      <c r="J191" t="n">
        <v>0</v>
      </c>
      <c r="K191" t="n">
        <v>0</v>
      </c>
      <c r="L191" t="n">
        <v>0</v>
      </c>
      <c r="M191" t="n">
        <v>0</v>
      </c>
      <c r="N191" t="n">
        <v>0</v>
      </c>
      <c r="O191" t="n">
        <v>0</v>
      </c>
      <c r="P191" t="n">
        <v>0</v>
      </c>
      <c r="Q191" t="n">
        <v>0</v>
      </c>
      <c r="R191" s="2" t="inlineStr"/>
    </row>
    <row r="192" ht="15" customHeight="1">
      <c r="A192" t="inlineStr">
        <is>
          <t>A 50061-2022</t>
        </is>
      </c>
      <c r="B192" s="1" t="n">
        <v>44865</v>
      </c>
      <c r="C192" s="1" t="n">
        <v>45888</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24098-2022</t>
        </is>
      </c>
      <c r="B193" s="1" t="n">
        <v>44725</v>
      </c>
      <c r="C193" s="1" t="n">
        <v>45888</v>
      </c>
      <c r="D193" t="inlineStr">
        <is>
          <t>SÖDERMANLANDS LÄN</t>
        </is>
      </c>
      <c r="E193" t="inlineStr">
        <is>
          <t>KATRINEHOLM</t>
        </is>
      </c>
      <c r="G193" t="n">
        <v>1.9</v>
      </c>
      <c r="H193" t="n">
        <v>0</v>
      </c>
      <c r="I193" t="n">
        <v>0</v>
      </c>
      <c r="J193" t="n">
        <v>0</v>
      </c>
      <c r="K193" t="n">
        <v>0</v>
      </c>
      <c r="L193" t="n">
        <v>0</v>
      </c>
      <c r="M193" t="n">
        <v>0</v>
      </c>
      <c r="N193" t="n">
        <v>0</v>
      </c>
      <c r="O193" t="n">
        <v>0</v>
      </c>
      <c r="P193" t="n">
        <v>0</v>
      </c>
      <c r="Q193" t="n">
        <v>0</v>
      </c>
      <c r="R193" s="2" t="inlineStr"/>
    </row>
    <row r="194" ht="15" customHeight="1">
      <c r="A194" t="inlineStr">
        <is>
          <t>A 64633-2020</t>
        </is>
      </c>
      <c r="B194" s="1" t="n">
        <v>44169</v>
      </c>
      <c r="C194" s="1" t="n">
        <v>45888</v>
      </c>
      <c r="D194" t="inlineStr">
        <is>
          <t>SÖDERMANLANDS LÄN</t>
        </is>
      </c>
      <c r="E194" t="inlineStr">
        <is>
          <t>KATRINEHOLM</t>
        </is>
      </c>
      <c r="F194" t="inlineStr">
        <is>
          <t>Holmen skog AB</t>
        </is>
      </c>
      <c r="G194" t="n">
        <v>0.5</v>
      </c>
      <c r="H194" t="n">
        <v>0</v>
      </c>
      <c r="I194" t="n">
        <v>0</v>
      </c>
      <c r="J194" t="n">
        <v>0</v>
      </c>
      <c r="K194" t="n">
        <v>0</v>
      </c>
      <c r="L194" t="n">
        <v>0</v>
      </c>
      <c r="M194" t="n">
        <v>0</v>
      </c>
      <c r="N194" t="n">
        <v>0</v>
      </c>
      <c r="O194" t="n">
        <v>0</v>
      </c>
      <c r="P194" t="n">
        <v>0</v>
      </c>
      <c r="Q194" t="n">
        <v>0</v>
      </c>
      <c r="R194" s="2" t="inlineStr"/>
    </row>
    <row r="195" ht="15" customHeight="1">
      <c r="A195" t="inlineStr">
        <is>
          <t>A 30333-2023</t>
        </is>
      </c>
      <c r="B195" s="1" t="n">
        <v>45111</v>
      </c>
      <c r="C195" s="1" t="n">
        <v>45888</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6628-2022</t>
        </is>
      </c>
      <c r="B196" s="1" t="n">
        <v>44601.78850694445</v>
      </c>
      <c r="C196" s="1" t="n">
        <v>45888</v>
      </c>
      <c r="D196" t="inlineStr">
        <is>
          <t>SÖDERMANLANDS LÄN</t>
        </is>
      </c>
      <c r="E196" t="inlineStr">
        <is>
          <t>KATRINEHOLM</t>
        </is>
      </c>
      <c r="G196" t="n">
        <v>0.6</v>
      </c>
      <c r="H196" t="n">
        <v>0</v>
      </c>
      <c r="I196" t="n">
        <v>0</v>
      </c>
      <c r="J196" t="n">
        <v>0</v>
      </c>
      <c r="K196" t="n">
        <v>0</v>
      </c>
      <c r="L196" t="n">
        <v>0</v>
      </c>
      <c r="M196" t="n">
        <v>0</v>
      </c>
      <c r="N196" t="n">
        <v>0</v>
      </c>
      <c r="O196" t="n">
        <v>0</v>
      </c>
      <c r="P196" t="n">
        <v>0</v>
      </c>
      <c r="Q196" t="n">
        <v>0</v>
      </c>
      <c r="R196" s="2" t="inlineStr"/>
    </row>
    <row r="197" ht="15" customHeight="1">
      <c r="A197" t="inlineStr">
        <is>
          <t>A 39120-2023</t>
        </is>
      </c>
      <c r="B197" s="1" t="n">
        <v>45165</v>
      </c>
      <c r="C197" s="1" t="n">
        <v>45888</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52044-2021</t>
        </is>
      </c>
      <c r="B198" s="1" t="n">
        <v>44463</v>
      </c>
      <c r="C198" s="1" t="n">
        <v>45888</v>
      </c>
      <c r="D198" t="inlineStr">
        <is>
          <t>SÖDERMANLANDS LÄN</t>
        </is>
      </c>
      <c r="E198" t="inlineStr">
        <is>
          <t>KATRINEHOLM</t>
        </is>
      </c>
      <c r="G198" t="n">
        <v>1.1</v>
      </c>
      <c r="H198" t="n">
        <v>0</v>
      </c>
      <c r="I198" t="n">
        <v>0</v>
      </c>
      <c r="J198" t="n">
        <v>0</v>
      </c>
      <c r="K198" t="n">
        <v>0</v>
      </c>
      <c r="L198" t="n">
        <v>0</v>
      </c>
      <c r="M198" t="n">
        <v>0</v>
      </c>
      <c r="N198" t="n">
        <v>0</v>
      </c>
      <c r="O198" t="n">
        <v>0</v>
      </c>
      <c r="P198" t="n">
        <v>0</v>
      </c>
      <c r="Q198" t="n">
        <v>0</v>
      </c>
      <c r="R198" s="2" t="inlineStr"/>
    </row>
    <row r="199" ht="15" customHeight="1">
      <c r="A199" t="inlineStr">
        <is>
          <t>A 12760-2021</t>
        </is>
      </c>
      <c r="B199" s="1" t="n">
        <v>44270</v>
      </c>
      <c r="C199" s="1" t="n">
        <v>45888</v>
      </c>
      <c r="D199" t="inlineStr">
        <is>
          <t>SÖDERMANLANDS LÄN</t>
        </is>
      </c>
      <c r="E199" t="inlineStr">
        <is>
          <t>KATRINEHOLM</t>
        </is>
      </c>
      <c r="F199" t="inlineStr">
        <is>
          <t>Kyrkan</t>
        </is>
      </c>
      <c r="G199" t="n">
        <v>1.2</v>
      </c>
      <c r="H199" t="n">
        <v>0</v>
      </c>
      <c r="I199" t="n">
        <v>0</v>
      </c>
      <c r="J199" t="n">
        <v>0</v>
      </c>
      <c r="K199" t="n">
        <v>0</v>
      </c>
      <c r="L199" t="n">
        <v>0</v>
      </c>
      <c r="M199" t="n">
        <v>0</v>
      </c>
      <c r="N199" t="n">
        <v>0</v>
      </c>
      <c r="O199" t="n">
        <v>0</v>
      </c>
      <c r="P199" t="n">
        <v>0</v>
      </c>
      <c r="Q199" t="n">
        <v>0</v>
      </c>
      <c r="R199" s="2" t="inlineStr"/>
    </row>
    <row r="200" ht="15" customHeight="1">
      <c r="A200" t="inlineStr">
        <is>
          <t>A 12068-2021</t>
        </is>
      </c>
      <c r="B200" s="1" t="n">
        <v>44266</v>
      </c>
      <c r="C200" s="1" t="n">
        <v>45888</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65162-2021</t>
        </is>
      </c>
      <c r="B201" s="1" t="n">
        <v>44512</v>
      </c>
      <c r="C201" s="1" t="n">
        <v>45888</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30567-2022</t>
        </is>
      </c>
      <c r="B202" s="1" t="n">
        <v>44762</v>
      </c>
      <c r="C202" s="1" t="n">
        <v>45888</v>
      </c>
      <c r="D202" t="inlineStr">
        <is>
          <t>SÖDERMANLANDS LÄN</t>
        </is>
      </c>
      <c r="E202" t="inlineStr">
        <is>
          <t>KATRINEHOLM</t>
        </is>
      </c>
      <c r="F202" t="inlineStr">
        <is>
          <t>Övriga Aktiebolag</t>
        </is>
      </c>
      <c r="G202" t="n">
        <v>0.5</v>
      </c>
      <c r="H202" t="n">
        <v>0</v>
      </c>
      <c r="I202" t="n">
        <v>0</v>
      </c>
      <c r="J202" t="n">
        <v>0</v>
      </c>
      <c r="K202" t="n">
        <v>0</v>
      </c>
      <c r="L202" t="n">
        <v>0</v>
      </c>
      <c r="M202" t="n">
        <v>0</v>
      </c>
      <c r="N202" t="n">
        <v>0</v>
      </c>
      <c r="O202" t="n">
        <v>0</v>
      </c>
      <c r="P202" t="n">
        <v>0</v>
      </c>
      <c r="Q202" t="n">
        <v>0</v>
      </c>
      <c r="R202" s="2" t="inlineStr"/>
    </row>
    <row r="203" ht="15" customHeight="1">
      <c r="A203" t="inlineStr">
        <is>
          <t>A 24287-2024</t>
        </is>
      </c>
      <c r="B203" s="1" t="n">
        <v>45457</v>
      </c>
      <c r="C203" s="1" t="n">
        <v>45888</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34040-2022</t>
        </is>
      </c>
      <c r="B204" s="1" t="n">
        <v>44790</v>
      </c>
      <c r="C204" s="1" t="n">
        <v>45888</v>
      </c>
      <c r="D204" t="inlineStr">
        <is>
          <t>SÖDERMANLANDS LÄN</t>
        </is>
      </c>
      <c r="E204" t="inlineStr">
        <is>
          <t>KATRINEHOLM</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40393-2022</t>
        </is>
      </c>
      <c r="B205" s="1" t="n">
        <v>44823</v>
      </c>
      <c r="C205" s="1" t="n">
        <v>45888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71129-2021</t>
        </is>
      </c>
      <c r="B206" s="1" t="n">
        <v>44539</v>
      </c>
      <c r="C206" s="1" t="n">
        <v>45888</v>
      </c>
      <c r="D206" t="inlineStr">
        <is>
          <t>SÖDERMANLANDS LÄN</t>
        </is>
      </c>
      <c r="E206" t="inlineStr">
        <is>
          <t>KATRINEHOLM</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33934-2022</t>
        </is>
      </c>
      <c r="B207" s="1" t="n">
        <v>44790</v>
      </c>
      <c r="C207" s="1" t="n">
        <v>45888</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74354-2021</t>
        </is>
      </c>
      <c r="B208" s="1" t="n">
        <v>44559.57041666667</v>
      </c>
      <c r="C208" s="1" t="n">
        <v>45888</v>
      </c>
      <c r="D208" t="inlineStr">
        <is>
          <t>SÖDERMANLANDS LÄN</t>
        </is>
      </c>
      <c r="E208" t="inlineStr">
        <is>
          <t>KATRINEHOLM</t>
        </is>
      </c>
      <c r="G208" t="n">
        <v>0.7</v>
      </c>
      <c r="H208" t="n">
        <v>0</v>
      </c>
      <c r="I208" t="n">
        <v>0</v>
      </c>
      <c r="J208" t="n">
        <v>0</v>
      </c>
      <c r="K208" t="n">
        <v>0</v>
      </c>
      <c r="L208" t="n">
        <v>0</v>
      </c>
      <c r="M208" t="n">
        <v>0</v>
      </c>
      <c r="N208" t="n">
        <v>0</v>
      </c>
      <c r="O208" t="n">
        <v>0</v>
      </c>
      <c r="P208" t="n">
        <v>0</v>
      </c>
      <c r="Q208" t="n">
        <v>0</v>
      </c>
      <c r="R208" s="2" t="inlineStr"/>
    </row>
    <row r="209" ht="15" customHeight="1">
      <c r="A209" t="inlineStr">
        <is>
          <t>A 45147-2021</t>
        </is>
      </c>
      <c r="B209" s="1" t="n">
        <v>44439</v>
      </c>
      <c r="C209" s="1" t="n">
        <v>45888</v>
      </c>
      <c r="D209" t="inlineStr">
        <is>
          <t>SÖDERMANLANDS LÄN</t>
        </is>
      </c>
      <c r="E209" t="inlineStr">
        <is>
          <t>KATRINEHOLM</t>
        </is>
      </c>
      <c r="G209" t="n">
        <v>3.2</v>
      </c>
      <c r="H209" t="n">
        <v>0</v>
      </c>
      <c r="I209" t="n">
        <v>0</v>
      </c>
      <c r="J209" t="n">
        <v>0</v>
      </c>
      <c r="K209" t="n">
        <v>0</v>
      </c>
      <c r="L209" t="n">
        <v>0</v>
      </c>
      <c r="M209" t="n">
        <v>0</v>
      </c>
      <c r="N209" t="n">
        <v>0</v>
      </c>
      <c r="O209" t="n">
        <v>0</v>
      </c>
      <c r="P209" t="n">
        <v>0</v>
      </c>
      <c r="Q209" t="n">
        <v>0</v>
      </c>
      <c r="R209" s="2" t="inlineStr"/>
    </row>
    <row r="210" ht="15" customHeight="1">
      <c r="A210" t="inlineStr">
        <is>
          <t>A 36964-2021</t>
        </is>
      </c>
      <c r="B210" s="1" t="n">
        <v>44393</v>
      </c>
      <c r="C210" s="1" t="n">
        <v>45888</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30981-2022</t>
        </is>
      </c>
      <c r="B211" s="1" t="n">
        <v>44768</v>
      </c>
      <c r="C211" s="1" t="n">
        <v>45888</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9699-2024</t>
        </is>
      </c>
      <c r="B212" s="1" t="n">
        <v>45362</v>
      </c>
      <c r="C212" s="1" t="n">
        <v>45888</v>
      </c>
      <c r="D212" t="inlineStr">
        <is>
          <t>SÖDERMANLANDS LÄN</t>
        </is>
      </c>
      <c r="E212" t="inlineStr">
        <is>
          <t>KATRINEHOLM</t>
        </is>
      </c>
      <c r="G212" t="n">
        <v>7.7</v>
      </c>
      <c r="H212" t="n">
        <v>0</v>
      </c>
      <c r="I212" t="n">
        <v>0</v>
      </c>
      <c r="J212" t="n">
        <v>0</v>
      </c>
      <c r="K212" t="n">
        <v>0</v>
      </c>
      <c r="L212" t="n">
        <v>0</v>
      </c>
      <c r="M212" t="n">
        <v>0</v>
      </c>
      <c r="N212" t="n">
        <v>0</v>
      </c>
      <c r="O212" t="n">
        <v>0</v>
      </c>
      <c r="P212" t="n">
        <v>0</v>
      </c>
      <c r="Q212" t="n">
        <v>0</v>
      </c>
      <c r="R212" s="2" t="inlineStr"/>
    </row>
    <row r="213" ht="15" customHeight="1">
      <c r="A213" t="inlineStr">
        <is>
          <t>A 53822-2023</t>
        </is>
      </c>
      <c r="B213" s="1" t="n">
        <v>45231.40846064815</v>
      </c>
      <c r="C213" s="1" t="n">
        <v>45888</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33001-2024</t>
        </is>
      </c>
      <c r="B214" s="1" t="n">
        <v>45517</v>
      </c>
      <c r="C214" s="1" t="n">
        <v>45888</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40749-2022</t>
        </is>
      </c>
      <c r="B215" s="1" t="n">
        <v>44824</v>
      </c>
      <c r="C215" s="1" t="n">
        <v>45888</v>
      </c>
      <c r="D215" t="inlineStr">
        <is>
          <t>SÖDERMANLANDS LÄN</t>
        </is>
      </c>
      <c r="E215" t="inlineStr">
        <is>
          <t>KATRINEHOLM</t>
        </is>
      </c>
      <c r="G215" t="n">
        <v>0.2</v>
      </c>
      <c r="H215" t="n">
        <v>0</v>
      </c>
      <c r="I215" t="n">
        <v>0</v>
      </c>
      <c r="J215" t="n">
        <v>0</v>
      </c>
      <c r="K215" t="n">
        <v>0</v>
      </c>
      <c r="L215" t="n">
        <v>0</v>
      </c>
      <c r="M215" t="n">
        <v>0</v>
      </c>
      <c r="N215" t="n">
        <v>0</v>
      </c>
      <c r="O215" t="n">
        <v>0</v>
      </c>
      <c r="P215" t="n">
        <v>0</v>
      </c>
      <c r="Q215" t="n">
        <v>0</v>
      </c>
      <c r="R215" s="2" t="inlineStr"/>
    </row>
    <row r="216" ht="15" customHeight="1">
      <c r="A216" t="inlineStr">
        <is>
          <t>A 15945-2024</t>
        </is>
      </c>
      <c r="B216" s="1" t="n">
        <v>45405.48912037037</v>
      </c>
      <c r="C216" s="1" t="n">
        <v>45888</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1329-2025</t>
        </is>
      </c>
      <c r="B217" s="1" t="n">
        <v>45667</v>
      </c>
      <c r="C217" s="1" t="n">
        <v>45888</v>
      </c>
      <c r="D217" t="inlineStr">
        <is>
          <t>SÖDERMANLANDS LÄN</t>
        </is>
      </c>
      <c r="E217" t="inlineStr">
        <is>
          <t>KATRINEHOLM</t>
        </is>
      </c>
      <c r="G217" t="n">
        <v>2.7</v>
      </c>
      <c r="H217" t="n">
        <v>0</v>
      </c>
      <c r="I217" t="n">
        <v>0</v>
      </c>
      <c r="J217" t="n">
        <v>0</v>
      </c>
      <c r="K217" t="n">
        <v>0</v>
      </c>
      <c r="L217" t="n">
        <v>0</v>
      </c>
      <c r="M217" t="n">
        <v>0</v>
      </c>
      <c r="N217" t="n">
        <v>0</v>
      </c>
      <c r="O217" t="n">
        <v>0</v>
      </c>
      <c r="P217" t="n">
        <v>0</v>
      </c>
      <c r="Q217" t="n">
        <v>0</v>
      </c>
      <c r="R217" s="2" t="inlineStr"/>
    </row>
    <row r="218" ht="15" customHeight="1">
      <c r="A218" t="inlineStr">
        <is>
          <t>A 65358-2020</t>
        </is>
      </c>
      <c r="B218" s="1" t="n">
        <v>44173</v>
      </c>
      <c r="C218" s="1" t="n">
        <v>45888</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48838-2020</t>
        </is>
      </c>
      <c r="B219" s="1" t="n">
        <v>44099</v>
      </c>
      <c r="C219" s="1" t="n">
        <v>45888</v>
      </c>
      <c r="D219" t="inlineStr">
        <is>
          <t>SÖDERMANLANDS LÄN</t>
        </is>
      </c>
      <c r="E219" t="inlineStr">
        <is>
          <t>KATRINEHOLM</t>
        </is>
      </c>
      <c r="G219" t="n">
        <v>6.8</v>
      </c>
      <c r="H219" t="n">
        <v>0</v>
      </c>
      <c r="I219" t="n">
        <v>0</v>
      </c>
      <c r="J219" t="n">
        <v>0</v>
      </c>
      <c r="K219" t="n">
        <v>0</v>
      </c>
      <c r="L219" t="n">
        <v>0</v>
      </c>
      <c r="M219" t="n">
        <v>0</v>
      </c>
      <c r="N219" t="n">
        <v>0</v>
      </c>
      <c r="O219" t="n">
        <v>0</v>
      </c>
      <c r="P219" t="n">
        <v>0</v>
      </c>
      <c r="Q219" t="n">
        <v>0</v>
      </c>
      <c r="R219" s="2" t="inlineStr"/>
    </row>
    <row r="220" ht="15" customHeight="1">
      <c r="A220" t="inlineStr">
        <is>
          <t>A 10732-2022</t>
        </is>
      </c>
      <c r="B220" s="1" t="n">
        <v>44627.34033564815</v>
      </c>
      <c r="C220" s="1" t="n">
        <v>45888</v>
      </c>
      <c r="D220" t="inlineStr">
        <is>
          <t>SÖDERMANLANDS LÄN</t>
        </is>
      </c>
      <c r="E220" t="inlineStr">
        <is>
          <t>KATRINEHOLM</t>
        </is>
      </c>
      <c r="G220" t="n">
        <v>2.4</v>
      </c>
      <c r="H220" t="n">
        <v>0</v>
      </c>
      <c r="I220" t="n">
        <v>0</v>
      </c>
      <c r="J220" t="n">
        <v>0</v>
      </c>
      <c r="K220" t="n">
        <v>0</v>
      </c>
      <c r="L220" t="n">
        <v>0</v>
      </c>
      <c r="M220" t="n">
        <v>0</v>
      </c>
      <c r="N220" t="n">
        <v>0</v>
      </c>
      <c r="O220" t="n">
        <v>0</v>
      </c>
      <c r="P220" t="n">
        <v>0</v>
      </c>
      <c r="Q220" t="n">
        <v>0</v>
      </c>
      <c r="R220" s="2" t="inlineStr"/>
    </row>
    <row r="221" ht="15" customHeight="1">
      <c r="A221" t="inlineStr">
        <is>
          <t>A 40744-2022</t>
        </is>
      </c>
      <c r="B221" s="1" t="n">
        <v>44824.55655092592</v>
      </c>
      <c r="C221" s="1" t="n">
        <v>45888</v>
      </c>
      <c r="D221" t="inlineStr">
        <is>
          <t>SÖDERMANLANDS LÄN</t>
        </is>
      </c>
      <c r="E221" t="inlineStr">
        <is>
          <t>KATRINEHOLM</t>
        </is>
      </c>
      <c r="G221" t="n">
        <v>3.7</v>
      </c>
      <c r="H221" t="n">
        <v>0</v>
      </c>
      <c r="I221" t="n">
        <v>0</v>
      </c>
      <c r="J221" t="n">
        <v>0</v>
      </c>
      <c r="K221" t="n">
        <v>0</v>
      </c>
      <c r="L221" t="n">
        <v>0</v>
      </c>
      <c r="M221" t="n">
        <v>0</v>
      </c>
      <c r="N221" t="n">
        <v>0</v>
      </c>
      <c r="O221" t="n">
        <v>0</v>
      </c>
      <c r="P221" t="n">
        <v>0</v>
      </c>
      <c r="Q221" t="n">
        <v>0</v>
      </c>
      <c r="R221" s="2" t="inlineStr"/>
    </row>
    <row r="222" ht="15" customHeight="1">
      <c r="A222" t="inlineStr">
        <is>
          <t>A 48259-2022</t>
        </is>
      </c>
      <c r="B222" s="1" t="n">
        <v>44858</v>
      </c>
      <c r="C222" s="1" t="n">
        <v>45888</v>
      </c>
      <c r="D222" t="inlineStr">
        <is>
          <t>SÖDERMANLANDS LÄN</t>
        </is>
      </c>
      <c r="E222" t="inlineStr">
        <is>
          <t>KATRINEHOLM</t>
        </is>
      </c>
      <c r="G222" t="n">
        <v>3.5</v>
      </c>
      <c r="H222" t="n">
        <v>0</v>
      </c>
      <c r="I222" t="n">
        <v>0</v>
      </c>
      <c r="J222" t="n">
        <v>0</v>
      </c>
      <c r="K222" t="n">
        <v>0</v>
      </c>
      <c r="L222" t="n">
        <v>0</v>
      </c>
      <c r="M222" t="n">
        <v>0</v>
      </c>
      <c r="N222" t="n">
        <v>0</v>
      </c>
      <c r="O222" t="n">
        <v>0</v>
      </c>
      <c r="P222" t="n">
        <v>0</v>
      </c>
      <c r="Q222" t="n">
        <v>0</v>
      </c>
      <c r="R222" s="2" t="inlineStr"/>
    </row>
    <row r="223" ht="15" customHeight="1">
      <c r="A223" t="inlineStr">
        <is>
          <t>A 20803-2024</t>
        </is>
      </c>
      <c r="B223" s="1" t="n">
        <v>45438</v>
      </c>
      <c r="C223" s="1" t="n">
        <v>45888</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15392-2023</t>
        </is>
      </c>
      <c r="B224" s="1" t="n">
        <v>45016</v>
      </c>
      <c r="C224" s="1" t="n">
        <v>45888</v>
      </c>
      <c r="D224" t="inlineStr">
        <is>
          <t>SÖDERMANLANDS LÄN</t>
        </is>
      </c>
      <c r="E224" t="inlineStr">
        <is>
          <t>KATRINEHOLM</t>
        </is>
      </c>
      <c r="F224" t="inlineStr">
        <is>
          <t>Övriga Aktiebolag</t>
        </is>
      </c>
      <c r="G224" t="n">
        <v>2.7</v>
      </c>
      <c r="H224" t="n">
        <v>0</v>
      </c>
      <c r="I224" t="n">
        <v>0</v>
      </c>
      <c r="J224" t="n">
        <v>0</v>
      </c>
      <c r="K224" t="n">
        <v>0</v>
      </c>
      <c r="L224" t="n">
        <v>0</v>
      </c>
      <c r="M224" t="n">
        <v>0</v>
      </c>
      <c r="N224" t="n">
        <v>0</v>
      </c>
      <c r="O224" t="n">
        <v>0</v>
      </c>
      <c r="P224" t="n">
        <v>0</v>
      </c>
      <c r="Q224" t="n">
        <v>0</v>
      </c>
      <c r="R224" s="2" t="inlineStr"/>
    </row>
    <row r="225" ht="15" customHeight="1">
      <c r="A225" t="inlineStr">
        <is>
          <t>A 8475-2023</t>
        </is>
      </c>
      <c r="B225" s="1" t="n">
        <v>44977</v>
      </c>
      <c r="C225" s="1" t="n">
        <v>45888</v>
      </c>
      <c r="D225" t="inlineStr">
        <is>
          <t>SÖDERMANLANDS LÄN</t>
        </is>
      </c>
      <c r="E225" t="inlineStr">
        <is>
          <t>KATRINEHOLM</t>
        </is>
      </c>
      <c r="F225" t="inlineStr">
        <is>
          <t>Allmännings- och besparingsskogar</t>
        </is>
      </c>
      <c r="G225" t="n">
        <v>8.1</v>
      </c>
      <c r="H225" t="n">
        <v>0</v>
      </c>
      <c r="I225" t="n">
        <v>0</v>
      </c>
      <c r="J225" t="n">
        <v>0</v>
      </c>
      <c r="K225" t="n">
        <v>0</v>
      </c>
      <c r="L225" t="n">
        <v>0</v>
      </c>
      <c r="M225" t="n">
        <v>0</v>
      </c>
      <c r="N225" t="n">
        <v>0</v>
      </c>
      <c r="O225" t="n">
        <v>0</v>
      </c>
      <c r="P225" t="n">
        <v>0</v>
      </c>
      <c r="Q225" t="n">
        <v>0</v>
      </c>
      <c r="R225" s="2" t="inlineStr"/>
    </row>
    <row r="226" ht="15" customHeight="1">
      <c r="A226" t="inlineStr">
        <is>
          <t>A 8518-2023</t>
        </is>
      </c>
      <c r="B226" s="1" t="n">
        <v>44977</v>
      </c>
      <c r="C226" s="1" t="n">
        <v>45888</v>
      </c>
      <c r="D226" t="inlineStr">
        <is>
          <t>SÖDERMANLANDS LÄN</t>
        </is>
      </c>
      <c r="E226" t="inlineStr">
        <is>
          <t>KATRINEHOLM</t>
        </is>
      </c>
      <c r="F226" t="inlineStr">
        <is>
          <t>Allmännings- och besparingsskogar</t>
        </is>
      </c>
      <c r="G226" t="n">
        <v>35.3</v>
      </c>
      <c r="H226" t="n">
        <v>0</v>
      </c>
      <c r="I226" t="n">
        <v>0</v>
      </c>
      <c r="J226" t="n">
        <v>0</v>
      </c>
      <c r="K226" t="n">
        <v>0</v>
      </c>
      <c r="L226" t="n">
        <v>0</v>
      </c>
      <c r="M226" t="n">
        <v>0</v>
      </c>
      <c r="N226" t="n">
        <v>0</v>
      </c>
      <c r="O226" t="n">
        <v>0</v>
      </c>
      <c r="P226" t="n">
        <v>0</v>
      </c>
      <c r="Q226" t="n">
        <v>0</v>
      </c>
      <c r="R226" s="2" t="inlineStr"/>
    </row>
    <row r="227" ht="15" customHeight="1">
      <c r="A227" t="inlineStr">
        <is>
          <t>A 4645-2024</t>
        </is>
      </c>
      <c r="B227" s="1" t="n">
        <v>45328</v>
      </c>
      <c r="C227" s="1" t="n">
        <v>45888</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4767-2021</t>
        </is>
      </c>
      <c r="B228" s="1" t="n">
        <v>44225</v>
      </c>
      <c r="C228" s="1" t="n">
        <v>45888</v>
      </c>
      <c r="D228" t="inlineStr">
        <is>
          <t>SÖDERMANLANDS LÄN</t>
        </is>
      </c>
      <c r="E228" t="inlineStr">
        <is>
          <t>KATRINEHOLM</t>
        </is>
      </c>
      <c r="G228" t="n">
        <v>3.8</v>
      </c>
      <c r="H228" t="n">
        <v>0</v>
      </c>
      <c r="I228" t="n">
        <v>0</v>
      </c>
      <c r="J228" t="n">
        <v>0</v>
      </c>
      <c r="K228" t="n">
        <v>0</v>
      </c>
      <c r="L228" t="n">
        <v>0</v>
      </c>
      <c r="M228" t="n">
        <v>0</v>
      </c>
      <c r="N228" t="n">
        <v>0</v>
      </c>
      <c r="O228" t="n">
        <v>0</v>
      </c>
      <c r="P228" t="n">
        <v>0</v>
      </c>
      <c r="Q228" t="n">
        <v>0</v>
      </c>
      <c r="R228" s="2" t="inlineStr"/>
    </row>
    <row r="229" ht="15" customHeight="1">
      <c r="A229" t="inlineStr">
        <is>
          <t>A 28508-2023</t>
        </is>
      </c>
      <c r="B229" s="1" t="n">
        <v>45103.46788194445</v>
      </c>
      <c r="C229" s="1" t="n">
        <v>45888</v>
      </c>
      <c r="D229" t="inlineStr">
        <is>
          <t>SÖDERMANLANDS LÄN</t>
        </is>
      </c>
      <c r="E229" t="inlineStr">
        <is>
          <t>KATRINEHOLM</t>
        </is>
      </c>
      <c r="F229" t="inlineStr">
        <is>
          <t>Kyrkan</t>
        </is>
      </c>
      <c r="G229" t="n">
        <v>20.5</v>
      </c>
      <c r="H229" t="n">
        <v>0</v>
      </c>
      <c r="I229" t="n">
        <v>0</v>
      </c>
      <c r="J229" t="n">
        <v>0</v>
      </c>
      <c r="K229" t="n">
        <v>0</v>
      </c>
      <c r="L229" t="n">
        <v>0</v>
      </c>
      <c r="M229" t="n">
        <v>0</v>
      </c>
      <c r="N229" t="n">
        <v>0</v>
      </c>
      <c r="O229" t="n">
        <v>0</v>
      </c>
      <c r="P229" t="n">
        <v>0</v>
      </c>
      <c r="Q229" t="n">
        <v>0</v>
      </c>
      <c r="R229" s="2" t="inlineStr"/>
    </row>
    <row r="230" ht="15" customHeight="1">
      <c r="A230" t="inlineStr">
        <is>
          <t>A 20212-2025</t>
        </is>
      </c>
      <c r="B230" s="1" t="n">
        <v>45772.63049768518</v>
      </c>
      <c r="C230" s="1" t="n">
        <v>45888</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46670-2021</t>
        </is>
      </c>
      <c r="B231" s="1" t="n">
        <v>44445</v>
      </c>
      <c r="C231" s="1" t="n">
        <v>45888</v>
      </c>
      <c r="D231" t="inlineStr">
        <is>
          <t>SÖDERMANLANDS LÄN</t>
        </is>
      </c>
      <c r="E231" t="inlineStr">
        <is>
          <t>KATRINEHOLM</t>
        </is>
      </c>
      <c r="G231" t="n">
        <v>4.4</v>
      </c>
      <c r="H231" t="n">
        <v>0</v>
      </c>
      <c r="I231" t="n">
        <v>0</v>
      </c>
      <c r="J231" t="n">
        <v>0</v>
      </c>
      <c r="K231" t="n">
        <v>0</v>
      </c>
      <c r="L231" t="n">
        <v>0</v>
      </c>
      <c r="M231" t="n">
        <v>0</v>
      </c>
      <c r="N231" t="n">
        <v>0</v>
      </c>
      <c r="O231" t="n">
        <v>0</v>
      </c>
      <c r="P231" t="n">
        <v>0</v>
      </c>
      <c r="Q231" t="n">
        <v>0</v>
      </c>
      <c r="R231" s="2" t="inlineStr"/>
    </row>
    <row r="232" ht="15" customHeight="1">
      <c r="A232" t="inlineStr">
        <is>
          <t>A 61674-2020</t>
        </is>
      </c>
      <c r="B232" s="1" t="n">
        <v>44158</v>
      </c>
      <c r="C232" s="1" t="n">
        <v>45888</v>
      </c>
      <c r="D232" t="inlineStr">
        <is>
          <t>SÖDERMANLANDS LÄN</t>
        </is>
      </c>
      <c r="E232" t="inlineStr">
        <is>
          <t>KATRINEHOLM</t>
        </is>
      </c>
      <c r="F232" t="inlineStr">
        <is>
          <t>Holmen skog AB</t>
        </is>
      </c>
      <c r="G232" t="n">
        <v>1.3</v>
      </c>
      <c r="H232" t="n">
        <v>0</v>
      </c>
      <c r="I232" t="n">
        <v>0</v>
      </c>
      <c r="J232" t="n">
        <v>0</v>
      </c>
      <c r="K232" t="n">
        <v>0</v>
      </c>
      <c r="L232" t="n">
        <v>0</v>
      </c>
      <c r="M232" t="n">
        <v>0</v>
      </c>
      <c r="N232" t="n">
        <v>0</v>
      </c>
      <c r="O232" t="n">
        <v>0</v>
      </c>
      <c r="P232" t="n">
        <v>0</v>
      </c>
      <c r="Q232" t="n">
        <v>0</v>
      </c>
      <c r="R232" s="2" t="inlineStr"/>
    </row>
    <row r="233" ht="15" customHeight="1">
      <c r="A233" t="inlineStr">
        <is>
          <t>A 45530-2023</t>
        </is>
      </c>
      <c r="B233" s="1" t="n">
        <v>45188</v>
      </c>
      <c r="C233" s="1" t="n">
        <v>45888</v>
      </c>
      <c r="D233" t="inlineStr">
        <is>
          <t>SÖDERMANLANDS LÄN</t>
        </is>
      </c>
      <c r="E233" t="inlineStr">
        <is>
          <t>KATRINEHOLM</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47889-2023</t>
        </is>
      </c>
      <c r="B234" s="1" t="n">
        <v>45204</v>
      </c>
      <c r="C234" s="1" t="n">
        <v>45888</v>
      </c>
      <c r="D234" t="inlineStr">
        <is>
          <t>SÖDERMANLANDS LÄN</t>
        </is>
      </c>
      <c r="E234" t="inlineStr">
        <is>
          <t>KATRINEHOLM</t>
        </is>
      </c>
      <c r="G234" t="n">
        <v>2.1</v>
      </c>
      <c r="H234" t="n">
        <v>0</v>
      </c>
      <c r="I234" t="n">
        <v>0</v>
      </c>
      <c r="J234" t="n">
        <v>0</v>
      </c>
      <c r="K234" t="n">
        <v>0</v>
      </c>
      <c r="L234" t="n">
        <v>0</v>
      </c>
      <c r="M234" t="n">
        <v>0</v>
      </c>
      <c r="N234" t="n">
        <v>0</v>
      </c>
      <c r="O234" t="n">
        <v>0</v>
      </c>
      <c r="P234" t="n">
        <v>0</v>
      </c>
      <c r="Q234" t="n">
        <v>0</v>
      </c>
      <c r="R234" s="2" t="inlineStr"/>
    </row>
    <row r="235" ht="15" customHeight="1">
      <c r="A235" t="inlineStr">
        <is>
          <t>A 55034-2021</t>
        </is>
      </c>
      <c r="B235" s="1" t="n">
        <v>44474</v>
      </c>
      <c r="C235" s="1" t="n">
        <v>45888</v>
      </c>
      <c r="D235" t="inlineStr">
        <is>
          <t>SÖDERMANLANDS LÄN</t>
        </is>
      </c>
      <c r="E235" t="inlineStr">
        <is>
          <t>KATRINEHOLM</t>
        </is>
      </c>
      <c r="G235" t="n">
        <v>5</v>
      </c>
      <c r="H235" t="n">
        <v>0</v>
      </c>
      <c r="I235" t="n">
        <v>0</v>
      </c>
      <c r="J235" t="n">
        <v>0</v>
      </c>
      <c r="K235" t="n">
        <v>0</v>
      </c>
      <c r="L235" t="n">
        <v>0</v>
      </c>
      <c r="M235" t="n">
        <v>0</v>
      </c>
      <c r="N235" t="n">
        <v>0</v>
      </c>
      <c r="O235" t="n">
        <v>0</v>
      </c>
      <c r="P235" t="n">
        <v>0</v>
      </c>
      <c r="Q235" t="n">
        <v>0</v>
      </c>
      <c r="R235" s="2" t="inlineStr"/>
    </row>
    <row r="236" ht="15" customHeight="1">
      <c r="A236" t="inlineStr">
        <is>
          <t>A 29397-2024</t>
        </is>
      </c>
      <c r="B236" s="1" t="n">
        <v>45483</v>
      </c>
      <c r="C236" s="1" t="n">
        <v>45888</v>
      </c>
      <c r="D236" t="inlineStr">
        <is>
          <t>SÖDERMANLANDS LÄN</t>
        </is>
      </c>
      <c r="E236" t="inlineStr">
        <is>
          <t>KATRINEHOLM</t>
        </is>
      </c>
      <c r="G236" t="n">
        <v>3.4</v>
      </c>
      <c r="H236" t="n">
        <v>0</v>
      </c>
      <c r="I236" t="n">
        <v>0</v>
      </c>
      <c r="J236" t="n">
        <v>0</v>
      </c>
      <c r="K236" t="n">
        <v>0</v>
      </c>
      <c r="L236" t="n">
        <v>0</v>
      </c>
      <c r="M236" t="n">
        <v>0</v>
      </c>
      <c r="N236" t="n">
        <v>0</v>
      </c>
      <c r="O236" t="n">
        <v>0</v>
      </c>
      <c r="P236" t="n">
        <v>0</v>
      </c>
      <c r="Q236" t="n">
        <v>0</v>
      </c>
      <c r="R236" s="2" t="inlineStr"/>
    </row>
    <row r="237" ht="15" customHeight="1">
      <c r="A237" t="inlineStr">
        <is>
          <t>A 57947-2020</t>
        </is>
      </c>
      <c r="B237" s="1" t="n">
        <v>44142</v>
      </c>
      <c r="C237" s="1" t="n">
        <v>45888</v>
      </c>
      <c r="D237" t="inlineStr">
        <is>
          <t>SÖDERMANLANDS LÄN</t>
        </is>
      </c>
      <c r="E237" t="inlineStr">
        <is>
          <t>KATRINEHOLM</t>
        </is>
      </c>
      <c r="G237" t="n">
        <v>9.6</v>
      </c>
      <c r="H237" t="n">
        <v>0</v>
      </c>
      <c r="I237" t="n">
        <v>0</v>
      </c>
      <c r="J237" t="n">
        <v>0</v>
      </c>
      <c r="K237" t="n">
        <v>0</v>
      </c>
      <c r="L237" t="n">
        <v>0</v>
      </c>
      <c r="M237" t="n">
        <v>0</v>
      </c>
      <c r="N237" t="n">
        <v>0</v>
      </c>
      <c r="O237" t="n">
        <v>0</v>
      </c>
      <c r="P237" t="n">
        <v>0</v>
      </c>
      <c r="Q237" t="n">
        <v>0</v>
      </c>
      <c r="R237" s="2" t="inlineStr"/>
    </row>
    <row r="238" ht="15" customHeight="1">
      <c r="A238" t="inlineStr">
        <is>
          <t>A 12975-2022</t>
        </is>
      </c>
      <c r="B238" s="1" t="n">
        <v>44643</v>
      </c>
      <c r="C238" s="1" t="n">
        <v>45888</v>
      </c>
      <c r="D238" t="inlineStr">
        <is>
          <t>SÖDERMANLANDS LÄN</t>
        </is>
      </c>
      <c r="E238" t="inlineStr">
        <is>
          <t>KATRINEHOLM</t>
        </is>
      </c>
      <c r="G238" t="n">
        <v>2.4</v>
      </c>
      <c r="H238" t="n">
        <v>0</v>
      </c>
      <c r="I238" t="n">
        <v>0</v>
      </c>
      <c r="J238" t="n">
        <v>0</v>
      </c>
      <c r="K238" t="n">
        <v>0</v>
      </c>
      <c r="L238" t="n">
        <v>0</v>
      </c>
      <c r="M238" t="n">
        <v>0</v>
      </c>
      <c r="N238" t="n">
        <v>0</v>
      </c>
      <c r="O238" t="n">
        <v>0</v>
      </c>
      <c r="P238" t="n">
        <v>0</v>
      </c>
      <c r="Q238" t="n">
        <v>0</v>
      </c>
      <c r="R238" s="2" t="inlineStr"/>
    </row>
    <row r="239" ht="15" customHeight="1">
      <c r="A239" t="inlineStr">
        <is>
          <t>A 9668-2023</t>
        </is>
      </c>
      <c r="B239" s="1" t="n">
        <v>44984.41238425926</v>
      </c>
      <c r="C239" s="1" t="n">
        <v>45888</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6807-2023</t>
        </is>
      </c>
      <c r="B240" s="1" t="n">
        <v>44964</v>
      </c>
      <c r="C240" s="1" t="n">
        <v>45888</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29977-2023</t>
        </is>
      </c>
      <c r="B241" s="1" t="n">
        <v>45108</v>
      </c>
      <c r="C241" s="1" t="n">
        <v>45888</v>
      </c>
      <c r="D241" t="inlineStr">
        <is>
          <t>SÖDERMANLANDS LÄN</t>
        </is>
      </c>
      <c r="E241" t="inlineStr">
        <is>
          <t>KATRINEHOLM</t>
        </is>
      </c>
      <c r="G241" t="n">
        <v>2.4</v>
      </c>
      <c r="H241" t="n">
        <v>0</v>
      </c>
      <c r="I241" t="n">
        <v>0</v>
      </c>
      <c r="J241" t="n">
        <v>0</v>
      </c>
      <c r="K241" t="n">
        <v>0</v>
      </c>
      <c r="L241" t="n">
        <v>0</v>
      </c>
      <c r="M241" t="n">
        <v>0</v>
      </c>
      <c r="N241" t="n">
        <v>0</v>
      </c>
      <c r="O241" t="n">
        <v>0</v>
      </c>
      <c r="P241" t="n">
        <v>0</v>
      </c>
      <c r="Q241" t="n">
        <v>0</v>
      </c>
      <c r="R241" s="2" t="inlineStr"/>
    </row>
    <row r="242" ht="15" customHeight="1">
      <c r="A242" t="inlineStr">
        <is>
          <t>A 6091-2025</t>
        </is>
      </c>
      <c r="B242" s="1" t="n">
        <v>45697</v>
      </c>
      <c r="C242" s="1" t="n">
        <v>45888</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6093-2025</t>
        </is>
      </c>
      <c r="B243" s="1" t="n">
        <v>45697</v>
      </c>
      <c r="C243" s="1" t="n">
        <v>45888</v>
      </c>
      <c r="D243" t="inlineStr">
        <is>
          <t>SÖDERMANLANDS LÄN</t>
        </is>
      </c>
      <c r="E243" t="inlineStr">
        <is>
          <t>KATRINEHOLM</t>
        </is>
      </c>
      <c r="G243" t="n">
        <v>1.3</v>
      </c>
      <c r="H243" t="n">
        <v>0</v>
      </c>
      <c r="I243" t="n">
        <v>0</v>
      </c>
      <c r="J243" t="n">
        <v>0</v>
      </c>
      <c r="K243" t="n">
        <v>0</v>
      </c>
      <c r="L243" t="n">
        <v>0</v>
      </c>
      <c r="M243" t="n">
        <v>0</v>
      </c>
      <c r="N243" t="n">
        <v>0</v>
      </c>
      <c r="O243" t="n">
        <v>0</v>
      </c>
      <c r="P243" t="n">
        <v>0</v>
      </c>
      <c r="Q243" t="n">
        <v>0</v>
      </c>
      <c r="R243" s="2" t="inlineStr"/>
    </row>
    <row r="244" ht="15" customHeight="1">
      <c r="A244" t="inlineStr">
        <is>
          <t>A 24179-2024</t>
        </is>
      </c>
      <c r="B244" s="1" t="n">
        <v>45456.83059027778</v>
      </c>
      <c r="C244" s="1" t="n">
        <v>45888</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61911-2021</t>
        </is>
      </c>
      <c r="B245" s="1" t="n">
        <v>44502.35746527778</v>
      </c>
      <c r="C245" s="1" t="n">
        <v>45888</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43513-2023</t>
        </is>
      </c>
      <c r="B246" s="1" t="n">
        <v>45184</v>
      </c>
      <c r="C246" s="1" t="n">
        <v>45888</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4669-2023</t>
        </is>
      </c>
      <c r="B247" s="1" t="n">
        <v>44957</v>
      </c>
      <c r="C247" s="1" t="n">
        <v>45888</v>
      </c>
      <c r="D247" t="inlineStr">
        <is>
          <t>SÖDERMANLANDS LÄN</t>
        </is>
      </c>
      <c r="E247" t="inlineStr">
        <is>
          <t>KATRINEHOLM</t>
        </is>
      </c>
      <c r="F247" t="inlineStr">
        <is>
          <t>Holmen skog AB</t>
        </is>
      </c>
      <c r="G247" t="n">
        <v>2.2</v>
      </c>
      <c r="H247" t="n">
        <v>0</v>
      </c>
      <c r="I247" t="n">
        <v>0</v>
      </c>
      <c r="J247" t="n">
        <v>0</v>
      </c>
      <c r="K247" t="n">
        <v>0</v>
      </c>
      <c r="L247" t="n">
        <v>0</v>
      </c>
      <c r="M247" t="n">
        <v>0</v>
      </c>
      <c r="N247" t="n">
        <v>0</v>
      </c>
      <c r="O247" t="n">
        <v>0</v>
      </c>
      <c r="P247" t="n">
        <v>0</v>
      </c>
      <c r="Q247" t="n">
        <v>0</v>
      </c>
      <c r="R247" s="2" t="inlineStr"/>
    </row>
    <row r="248" ht="15" customHeight="1">
      <c r="A248" t="inlineStr">
        <is>
          <t>A 30276-2023</t>
        </is>
      </c>
      <c r="B248" s="1" t="n">
        <v>45110</v>
      </c>
      <c r="C248" s="1" t="n">
        <v>45888</v>
      </c>
      <c r="D248" t="inlineStr">
        <is>
          <t>SÖDERMANLANDS LÄN</t>
        </is>
      </c>
      <c r="E248" t="inlineStr">
        <is>
          <t>KATRINEHOLM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2297-2021</t>
        </is>
      </c>
      <c r="B249" s="1" t="n">
        <v>44212</v>
      </c>
      <c r="C249" s="1" t="n">
        <v>45888</v>
      </c>
      <c r="D249" t="inlineStr">
        <is>
          <t>SÖDERMANLANDS LÄN</t>
        </is>
      </c>
      <c r="E249" t="inlineStr">
        <is>
          <t>KATRINEHOLM</t>
        </is>
      </c>
      <c r="G249" t="n">
        <v>14.4</v>
      </c>
      <c r="H249" t="n">
        <v>0</v>
      </c>
      <c r="I249" t="n">
        <v>0</v>
      </c>
      <c r="J249" t="n">
        <v>0</v>
      </c>
      <c r="K249" t="n">
        <v>0</v>
      </c>
      <c r="L249" t="n">
        <v>0</v>
      </c>
      <c r="M249" t="n">
        <v>0</v>
      </c>
      <c r="N249" t="n">
        <v>0</v>
      </c>
      <c r="O249" t="n">
        <v>0</v>
      </c>
      <c r="P249" t="n">
        <v>0</v>
      </c>
      <c r="Q249" t="n">
        <v>0</v>
      </c>
      <c r="R249" s="2" t="inlineStr"/>
    </row>
    <row r="250" ht="15" customHeight="1">
      <c r="A250" t="inlineStr">
        <is>
          <t>A 42791-2023</t>
        </is>
      </c>
      <c r="B250" s="1" t="n">
        <v>45181.92876157408</v>
      </c>
      <c r="C250" s="1" t="n">
        <v>45888</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42792-2023</t>
        </is>
      </c>
      <c r="B251" s="1" t="n">
        <v>45181.95491898148</v>
      </c>
      <c r="C251" s="1" t="n">
        <v>45888</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32786-2022</t>
        </is>
      </c>
      <c r="B252" s="1" t="n">
        <v>44784</v>
      </c>
      <c r="C252" s="1" t="n">
        <v>45888</v>
      </c>
      <c r="D252" t="inlineStr">
        <is>
          <t>SÖDERMANLANDS LÄN</t>
        </is>
      </c>
      <c r="E252" t="inlineStr">
        <is>
          <t>KATRINEHOLM</t>
        </is>
      </c>
      <c r="G252" t="n">
        <v>7</v>
      </c>
      <c r="H252" t="n">
        <v>0</v>
      </c>
      <c r="I252" t="n">
        <v>0</v>
      </c>
      <c r="J252" t="n">
        <v>0</v>
      </c>
      <c r="K252" t="n">
        <v>0</v>
      </c>
      <c r="L252" t="n">
        <v>0</v>
      </c>
      <c r="M252" t="n">
        <v>0</v>
      </c>
      <c r="N252" t="n">
        <v>0</v>
      </c>
      <c r="O252" t="n">
        <v>0</v>
      </c>
      <c r="P252" t="n">
        <v>0</v>
      </c>
      <c r="Q252" t="n">
        <v>0</v>
      </c>
      <c r="R252" s="2" t="inlineStr"/>
    </row>
    <row r="253" ht="15" customHeight="1">
      <c r="A253" t="inlineStr">
        <is>
          <t>A 49122-2024</t>
        </is>
      </c>
      <c r="B253" s="1" t="n">
        <v>45594</v>
      </c>
      <c r="C253" s="1" t="n">
        <v>45888</v>
      </c>
      <c r="D253" t="inlineStr">
        <is>
          <t>SÖDERMANLANDS LÄN</t>
        </is>
      </c>
      <c r="E253" t="inlineStr">
        <is>
          <t>KATRINEHOLM</t>
        </is>
      </c>
      <c r="G253" t="n">
        <v>19.4</v>
      </c>
      <c r="H253" t="n">
        <v>0</v>
      </c>
      <c r="I253" t="n">
        <v>0</v>
      </c>
      <c r="J253" t="n">
        <v>0</v>
      </c>
      <c r="K253" t="n">
        <v>0</v>
      </c>
      <c r="L253" t="n">
        <v>0</v>
      </c>
      <c r="M253" t="n">
        <v>0</v>
      </c>
      <c r="N253" t="n">
        <v>0</v>
      </c>
      <c r="O253" t="n">
        <v>0</v>
      </c>
      <c r="P253" t="n">
        <v>0</v>
      </c>
      <c r="Q253" t="n">
        <v>0</v>
      </c>
      <c r="R253" s="2" t="inlineStr"/>
    </row>
    <row r="254" ht="15" customHeight="1">
      <c r="A254" t="inlineStr">
        <is>
          <t>A 49124-2024</t>
        </is>
      </c>
      <c r="B254" s="1" t="n">
        <v>45594</v>
      </c>
      <c r="C254" s="1" t="n">
        <v>45888</v>
      </c>
      <c r="D254" t="inlineStr">
        <is>
          <t>SÖDERMANLANDS LÄN</t>
        </is>
      </c>
      <c r="E254" t="inlineStr">
        <is>
          <t>KATRINEHOLM</t>
        </is>
      </c>
      <c r="G254" t="n">
        <v>11.6</v>
      </c>
      <c r="H254" t="n">
        <v>0</v>
      </c>
      <c r="I254" t="n">
        <v>0</v>
      </c>
      <c r="J254" t="n">
        <v>0</v>
      </c>
      <c r="K254" t="n">
        <v>0</v>
      </c>
      <c r="L254" t="n">
        <v>0</v>
      </c>
      <c r="M254" t="n">
        <v>0</v>
      </c>
      <c r="N254" t="n">
        <v>0</v>
      </c>
      <c r="O254" t="n">
        <v>0</v>
      </c>
      <c r="P254" t="n">
        <v>0</v>
      </c>
      <c r="Q254" t="n">
        <v>0</v>
      </c>
      <c r="R254" s="2" t="inlineStr"/>
    </row>
    <row r="255" ht="15" customHeight="1">
      <c r="A255" t="inlineStr">
        <is>
          <t>A 42025-2022</t>
        </is>
      </c>
      <c r="B255" s="1" t="n">
        <v>44830.47399305556</v>
      </c>
      <c r="C255" s="1" t="n">
        <v>45888</v>
      </c>
      <c r="D255" t="inlineStr">
        <is>
          <t>SÖDERMANLANDS LÄN</t>
        </is>
      </c>
      <c r="E255" t="inlineStr">
        <is>
          <t>KATRINEHOLM</t>
        </is>
      </c>
      <c r="G255" t="n">
        <v>1.5</v>
      </c>
      <c r="H255" t="n">
        <v>0</v>
      </c>
      <c r="I255" t="n">
        <v>0</v>
      </c>
      <c r="J255" t="n">
        <v>0</v>
      </c>
      <c r="K255" t="n">
        <v>0</v>
      </c>
      <c r="L255" t="n">
        <v>0</v>
      </c>
      <c r="M255" t="n">
        <v>0</v>
      </c>
      <c r="N255" t="n">
        <v>0</v>
      </c>
      <c r="O255" t="n">
        <v>0</v>
      </c>
      <c r="P255" t="n">
        <v>0</v>
      </c>
      <c r="Q255" t="n">
        <v>0</v>
      </c>
      <c r="R255" s="2" t="inlineStr"/>
    </row>
    <row r="256" ht="15" customHeight="1">
      <c r="A256" t="inlineStr">
        <is>
          <t>A 8791-2023</t>
        </is>
      </c>
      <c r="B256" s="1" t="n">
        <v>44978</v>
      </c>
      <c r="C256" s="1" t="n">
        <v>45888</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55825-2022</t>
        </is>
      </c>
      <c r="B257" s="1" t="n">
        <v>44886</v>
      </c>
      <c r="C257" s="1" t="n">
        <v>45888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13658-2023</t>
        </is>
      </c>
      <c r="B258" s="1" t="n">
        <v>45006</v>
      </c>
      <c r="C258" s="1" t="n">
        <v>45888</v>
      </c>
      <c r="D258" t="inlineStr">
        <is>
          <t>SÖDERMANLANDS LÄN</t>
        </is>
      </c>
      <c r="E258" t="inlineStr">
        <is>
          <t>KATRINEHOLM</t>
        </is>
      </c>
      <c r="F258" t="inlineStr">
        <is>
          <t>Kyrkan</t>
        </is>
      </c>
      <c r="G258" t="n">
        <v>24.3</v>
      </c>
      <c r="H258" t="n">
        <v>0</v>
      </c>
      <c r="I258" t="n">
        <v>0</v>
      </c>
      <c r="J258" t="n">
        <v>0</v>
      </c>
      <c r="K258" t="n">
        <v>0</v>
      </c>
      <c r="L258" t="n">
        <v>0</v>
      </c>
      <c r="M258" t="n">
        <v>0</v>
      </c>
      <c r="N258" t="n">
        <v>0</v>
      </c>
      <c r="O258" t="n">
        <v>0</v>
      </c>
      <c r="P258" t="n">
        <v>0</v>
      </c>
      <c r="Q258" t="n">
        <v>0</v>
      </c>
      <c r="R258" s="2" t="inlineStr"/>
    </row>
    <row r="259" ht="15" customHeight="1">
      <c r="A259" t="inlineStr">
        <is>
          <t>A 7459-2022</t>
        </is>
      </c>
      <c r="B259" s="1" t="n">
        <v>44607.35009259259</v>
      </c>
      <c r="C259" s="1" t="n">
        <v>45888</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62954-2023</t>
        </is>
      </c>
      <c r="B260" s="1" t="n">
        <v>45272.55362268518</v>
      </c>
      <c r="C260" s="1" t="n">
        <v>45888</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65485-2020</t>
        </is>
      </c>
      <c r="B261" s="1" t="n">
        <v>44173</v>
      </c>
      <c r="C261" s="1" t="n">
        <v>45888</v>
      </c>
      <c r="D261" t="inlineStr">
        <is>
          <t>SÖDERMANLANDS LÄN</t>
        </is>
      </c>
      <c r="E261" t="inlineStr">
        <is>
          <t>KATRINEHOLM</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948-2023</t>
        </is>
      </c>
      <c r="B262" s="1" t="n">
        <v>44934</v>
      </c>
      <c r="C262" s="1" t="n">
        <v>45888</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6087-2022</t>
        </is>
      </c>
      <c r="B263" s="1" t="n">
        <v>44599.61034722222</v>
      </c>
      <c r="C263" s="1" t="n">
        <v>45888</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47134-2022</t>
        </is>
      </c>
      <c r="B264" s="1" t="n">
        <v>44851</v>
      </c>
      <c r="C264" s="1" t="n">
        <v>45888</v>
      </c>
      <c r="D264" t="inlineStr">
        <is>
          <t>SÖDERMANLANDS LÄN</t>
        </is>
      </c>
      <c r="E264" t="inlineStr">
        <is>
          <t>KATRINEHOLM</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7191-2023</t>
        </is>
      </c>
      <c r="B265" s="1" t="n">
        <v>44965</v>
      </c>
      <c r="C265" s="1" t="n">
        <v>45888</v>
      </c>
      <c r="D265" t="inlineStr">
        <is>
          <t>SÖDERMANLANDS LÄN</t>
        </is>
      </c>
      <c r="E265" t="inlineStr">
        <is>
          <t>KATRINEHOLM</t>
        </is>
      </c>
      <c r="G265" t="n">
        <v>14.1</v>
      </c>
      <c r="H265" t="n">
        <v>0</v>
      </c>
      <c r="I265" t="n">
        <v>0</v>
      </c>
      <c r="J265" t="n">
        <v>0</v>
      </c>
      <c r="K265" t="n">
        <v>0</v>
      </c>
      <c r="L265" t="n">
        <v>0</v>
      </c>
      <c r="M265" t="n">
        <v>0</v>
      </c>
      <c r="N265" t="n">
        <v>0</v>
      </c>
      <c r="O265" t="n">
        <v>0</v>
      </c>
      <c r="P265" t="n">
        <v>0</v>
      </c>
      <c r="Q265" t="n">
        <v>0</v>
      </c>
      <c r="R265" s="2" t="inlineStr"/>
    </row>
    <row r="266" ht="15" customHeight="1">
      <c r="A266" t="inlineStr">
        <is>
          <t>A 37834-2023</t>
        </is>
      </c>
      <c r="B266" s="1" t="n">
        <v>45160</v>
      </c>
      <c r="C266" s="1" t="n">
        <v>45888</v>
      </c>
      <c r="D266" t="inlineStr">
        <is>
          <t>SÖDERMANLANDS LÄN</t>
        </is>
      </c>
      <c r="E266" t="inlineStr">
        <is>
          <t>KATRINEHOLM</t>
        </is>
      </c>
      <c r="F266" t="inlineStr">
        <is>
          <t>Kyrkan</t>
        </is>
      </c>
      <c r="G266" t="n">
        <v>2.8</v>
      </c>
      <c r="H266" t="n">
        <v>0</v>
      </c>
      <c r="I266" t="n">
        <v>0</v>
      </c>
      <c r="J266" t="n">
        <v>0</v>
      </c>
      <c r="K266" t="n">
        <v>0</v>
      </c>
      <c r="L266" t="n">
        <v>0</v>
      </c>
      <c r="M266" t="n">
        <v>0</v>
      </c>
      <c r="N266" t="n">
        <v>0</v>
      </c>
      <c r="O266" t="n">
        <v>0</v>
      </c>
      <c r="P266" t="n">
        <v>0</v>
      </c>
      <c r="Q266" t="n">
        <v>0</v>
      </c>
      <c r="R266" s="2" t="inlineStr"/>
    </row>
    <row r="267" ht="15" customHeight="1">
      <c r="A267" t="inlineStr">
        <is>
          <t>A 36210-2022</t>
        </is>
      </c>
      <c r="B267" s="1" t="n">
        <v>44803.47950231482</v>
      </c>
      <c r="C267" s="1" t="n">
        <v>45888</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19685-2022</t>
        </is>
      </c>
      <c r="B268" s="1" t="n">
        <v>44694</v>
      </c>
      <c r="C268" s="1" t="n">
        <v>45888</v>
      </c>
      <c r="D268" t="inlineStr">
        <is>
          <t>SÖDERMANLANDS LÄN</t>
        </is>
      </c>
      <c r="E268" t="inlineStr">
        <is>
          <t>KATRINEHOLM</t>
        </is>
      </c>
      <c r="G268" t="n">
        <v>1.7</v>
      </c>
      <c r="H268" t="n">
        <v>0</v>
      </c>
      <c r="I268" t="n">
        <v>0</v>
      </c>
      <c r="J268" t="n">
        <v>0</v>
      </c>
      <c r="K268" t="n">
        <v>0</v>
      </c>
      <c r="L268" t="n">
        <v>0</v>
      </c>
      <c r="M268" t="n">
        <v>0</v>
      </c>
      <c r="N268" t="n">
        <v>0</v>
      </c>
      <c r="O268" t="n">
        <v>0</v>
      </c>
      <c r="P268" t="n">
        <v>0</v>
      </c>
      <c r="Q268" t="n">
        <v>0</v>
      </c>
      <c r="R268" s="2" t="inlineStr"/>
    </row>
    <row r="269" ht="15" customHeight="1">
      <c r="A269" t="inlineStr">
        <is>
          <t>A 8951-2024</t>
        </is>
      </c>
      <c r="B269" s="1" t="n">
        <v>45357.44695601852</v>
      </c>
      <c r="C269" s="1" t="n">
        <v>45888</v>
      </c>
      <c r="D269" t="inlineStr">
        <is>
          <t>SÖDERMANLANDS LÄN</t>
        </is>
      </c>
      <c r="E269" t="inlineStr">
        <is>
          <t>KATRINEHOLM</t>
        </is>
      </c>
      <c r="G269" t="n">
        <v>3.3</v>
      </c>
      <c r="H269" t="n">
        <v>0</v>
      </c>
      <c r="I269" t="n">
        <v>0</v>
      </c>
      <c r="J269" t="n">
        <v>0</v>
      </c>
      <c r="K269" t="n">
        <v>0</v>
      </c>
      <c r="L269" t="n">
        <v>0</v>
      </c>
      <c r="M269" t="n">
        <v>0</v>
      </c>
      <c r="N269" t="n">
        <v>0</v>
      </c>
      <c r="O269" t="n">
        <v>0</v>
      </c>
      <c r="P269" t="n">
        <v>0</v>
      </c>
      <c r="Q269" t="n">
        <v>0</v>
      </c>
      <c r="R269" s="2" t="inlineStr"/>
    </row>
    <row r="270" ht="15" customHeight="1">
      <c r="A270" t="inlineStr">
        <is>
          <t>A 32890-2024</t>
        </is>
      </c>
      <c r="B270" s="1" t="n">
        <v>45516</v>
      </c>
      <c r="C270" s="1" t="n">
        <v>45888</v>
      </c>
      <c r="D270" t="inlineStr">
        <is>
          <t>SÖDERMANLANDS LÄN</t>
        </is>
      </c>
      <c r="E270" t="inlineStr">
        <is>
          <t>KATRINEHOLM</t>
        </is>
      </c>
      <c r="G270" t="n">
        <v>2.6</v>
      </c>
      <c r="H270" t="n">
        <v>0</v>
      </c>
      <c r="I270" t="n">
        <v>0</v>
      </c>
      <c r="J270" t="n">
        <v>0</v>
      </c>
      <c r="K270" t="n">
        <v>0</v>
      </c>
      <c r="L270" t="n">
        <v>0</v>
      </c>
      <c r="M270" t="n">
        <v>0</v>
      </c>
      <c r="N270" t="n">
        <v>0</v>
      </c>
      <c r="O270" t="n">
        <v>0</v>
      </c>
      <c r="P270" t="n">
        <v>0</v>
      </c>
      <c r="Q270" t="n">
        <v>0</v>
      </c>
      <c r="R270" s="2" t="inlineStr"/>
    </row>
    <row r="271" ht="15" customHeight="1">
      <c r="A271" t="inlineStr">
        <is>
          <t>A 39704-2023</t>
        </is>
      </c>
      <c r="B271" s="1" t="n">
        <v>45167</v>
      </c>
      <c r="C271" s="1" t="n">
        <v>45888</v>
      </c>
      <c r="D271" t="inlineStr">
        <is>
          <t>SÖDERMANLANDS LÄN</t>
        </is>
      </c>
      <c r="E271" t="inlineStr">
        <is>
          <t>KATRINEHOLM</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14224-2024</t>
        </is>
      </c>
      <c r="B272" s="1" t="n">
        <v>45393</v>
      </c>
      <c r="C272" s="1" t="n">
        <v>45888</v>
      </c>
      <c r="D272" t="inlineStr">
        <is>
          <t>SÖDERMANLANDS LÄN</t>
        </is>
      </c>
      <c r="E272" t="inlineStr">
        <is>
          <t>KATRINEHOLM</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44989-2022</t>
        </is>
      </c>
      <c r="B273" s="1" t="n">
        <v>44840</v>
      </c>
      <c r="C273" s="1" t="n">
        <v>45888</v>
      </c>
      <c r="D273" t="inlineStr">
        <is>
          <t>SÖDERMANLANDS LÄN</t>
        </is>
      </c>
      <c r="E273" t="inlineStr">
        <is>
          <t>KATRINEHOLM</t>
        </is>
      </c>
      <c r="G273" t="n">
        <v>6</v>
      </c>
      <c r="H273" t="n">
        <v>0</v>
      </c>
      <c r="I273" t="n">
        <v>0</v>
      </c>
      <c r="J273" t="n">
        <v>0</v>
      </c>
      <c r="K273" t="n">
        <v>0</v>
      </c>
      <c r="L273" t="n">
        <v>0</v>
      </c>
      <c r="M273" t="n">
        <v>0</v>
      </c>
      <c r="N273" t="n">
        <v>0</v>
      </c>
      <c r="O273" t="n">
        <v>0</v>
      </c>
      <c r="P273" t="n">
        <v>0</v>
      </c>
      <c r="Q273" t="n">
        <v>0</v>
      </c>
      <c r="R273" s="2" t="inlineStr"/>
    </row>
    <row r="274" ht="15" customHeight="1">
      <c r="A274" t="inlineStr">
        <is>
          <t>A 12835-2024</t>
        </is>
      </c>
      <c r="B274" s="1" t="n">
        <v>45384</v>
      </c>
      <c r="C274" s="1" t="n">
        <v>45888</v>
      </c>
      <c r="D274" t="inlineStr">
        <is>
          <t>SÖDERMANLANDS LÄN</t>
        </is>
      </c>
      <c r="E274" t="inlineStr">
        <is>
          <t>KATRINEHOLM</t>
        </is>
      </c>
      <c r="F274" t="inlineStr">
        <is>
          <t>Allmännings- och besparingsskogar</t>
        </is>
      </c>
      <c r="G274" t="n">
        <v>0.5</v>
      </c>
      <c r="H274" t="n">
        <v>0</v>
      </c>
      <c r="I274" t="n">
        <v>0</v>
      </c>
      <c r="J274" t="n">
        <v>0</v>
      </c>
      <c r="K274" t="n">
        <v>0</v>
      </c>
      <c r="L274" t="n">
        <v>0</v>
      </c>
      <c r="M274" t="n">
        <v>0</v>
      </c>
      <c r="N274" t="n">
        <v>0</v>
      </c>
      <c r="O274" t="n">
        <v>0</v>
      </c>
      <c r="P274" t="n">
        <v>0</v>
      </c>
      <c r="Q274" t="n">
        <v>0</v>
      </c>
      <c r="R274" s="2" t="inlineStr"/>
    </row>
    <row r="275" ht="15" customHeight="1">
      <c r="A275" t="inlineStr">
        <is>
          <t>A 69600-2020</t>
        </is>
      </c>
      <c r="B275" s="1" t="n">
        <v>44195</v>
      </c>
      <c r="C275" s="1" t="n">
        <v>45888</v>
      </c>
      <c r="D275" t="inlineStr">
        <is>
          <t>SÖDERMANLANDS LÄN</t>
        </is>
      </c>
      <c r="E275" t="inlineStr">
        <is>
          <t>KATRINEHOLM</t>
        </is>
      </c>
      <c r="G275" t="n">
        <v>11.3</v>
      </c>
      <c r="H275" t="n">
        <v>0</v>
      </c>
      <c r="I275" t="n">
        <v>0</v>
      </c>
      <c r="J275" t="n">
        <v>0</v>
      </c>
      <c r="K275" t="n">
        <v>0</v>
      </c>
      <c r="L275" t="n">
        <v>0</v>
      </c>
      <c r="M275" t="n">
        <v>0</v>
      </c>
      <c r="N275" t="n">
        <v>0</v>
      </c>
      <c r="O275" t="n">
        <v>0</v>
      </c>
      <c r="P275" t="n">
        <v>0</v>
      </c>
      <c r="Q275" t="n">
        <v>0</v>
      </c>
      <c r="R275" s="2" t="inlineStr"/>
    </row>
    <row r="276" ht="15" customHeight="1">
      <c r="A276" t="inlineStr">
        <is>
          <t>A 15235-2023</t>
        </is>
      </c>
      <c r="B276" s="1" t="n">
        <v>45019</v>
      </c>
      <c r="C276" s="1" t="n">
        <v>45888</v>
      </c>
      <c r="D276" t="inlineStr">
        <is>
          <t>SÖDERMANLANDS LÄN</t>
        </is>
      </c>
      <c r="E276" t="inlineStr">
        <is>
          <t>KATRINEHOLM</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47879-2023</t>
        </is>
      </c>
      <c r="B277" s="1" t="n">
        <v>45204</v>
      </c>
      <c r="C277" s="1" t="n">
        <v>45888</v>
      </c>
      <c r="D277" t="inlineStr">
        <is>
          <t>SÖDERMANLANDS LÄN</t>
        </is>
      </c>
      <c r="E277" t="inlineStr">
        <is>
          <t>KATRINEHOLM</t>
        </is>
      </c>
      <c r="F277" t="inlineStr">
        <is>
          <t>Övriga Aktiebolag</t>
        </is>
      </c>
      <c r="G277" t="n">
        <v>2.3</v>
      </c>
      <c r="H277" t="n">
        <v>0</v>
      </c>
      <c r="I277" t="n">
        <v>0</v>
      </c>
      <c r="J277" t="n">
        <v>0</v>
      </c>
      <c r="K277" t="n">
        <v>0</v>
      </c>
      <c r="L277" t="n">
        <v>0</v>
      </c>
      <c r="M277" t="n">
        <v>0</v>
      </c>
      <c r="N277" t="n">
        <v>0</v>
      </c>
      <c r="O277" t="n">
        <v>0</v>
      </c>
      <c r="P277" t="n">
        <v>0</v>
      </c>
      <c r="Q277" t="n">
        <v>0</v>
      </c>
      <c r="R277" s="2" t="inlineStr"/>
    </row>
    <row r="278" ht="15" customHeight="1">
      <c r="A278" t="inlineStr">
        <is>
          <t>A 57263-2022</t>
        </is>
      </c>
      <c r="B278" s="1" t="n">
        <v>44895</v>
      </c>
      <c r="C278" s="1" t="n">
        <v>45888</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61410-2024</t>
        </is>
      </c>
      <c r="B279" s="1" t="n">
        <v>45646.43950231482</v>
      </c>
      <c r="C279" s="1" t="n">
        <v>45888</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65077-2020</t>
        </is>
      </c>
      <c r="B280" s="1" t="n">
        <v>44172</v>
      </c>
      <c r="C280" s="1" t="n">
        <v>45888</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24748-2024</t>
        </is>
      </c>
      <c r="B281" s="1" t="n">
        <v>45460.66567129629</v>
      </c>
      <c r="C281" s="1" t="n">
        <v>45888</v>
      </c>
      <c r="D281" t="inlineStr">
        <is>
          <t>SÖDERMANLANDS LÄN</t>
        </is>
      </c>
      <c r="E281" t="inlineStr">
        <is>
          <t>KATRINEHOLM</t>
        </is>
      </c>
      <c r="G281" t="n">
        <v>3.3</v>
      </c>
      <c r="H281" t="n">
        <v>0</v>
      </c>
      <c r="I281" t="n">
        <v>0</v>
      </c>
      <c r="J281" t="n">
        <v>0</v>
      </c>
      <c r="K281" t="n">
        <v>0</v>
      </c>
      <c r="L281" t="n">
        <v>0</v>
      </c>
      <c r="M281" t="n">
        <v>0</v>
      </c>
      <c r="N281" t="n">
        <v>0</v>
      </c>
      <c r="O281" t="n">
        <v>0</v>
      </c>
      <c r="P281" t="n">
        <v>0</v>
      </c>
      <c r="Q281" t="n">
        <v>0</v>
      </c>
      <c r="R281" s="2" t="inlineStr"/>
    </row>
    <row r="282" ht="15" customHeight="1">
      <c r="A282" t="inlineStr">
        <is>
          <t>A 49218-2023</t>
        </is>
      </c>
      <c r="B282" s="1" t="n">
        <v>45205</v>
      </c>
      <c r="C282" s="1" t="n">
        <v>45888</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24929-2024</t>
        </is>
      </c>
      <c r="B283" s="1" t="n">
        <v>45461</v>
      </c>
      <c r="C283" s="1" t="n">
        <v>45888</v>
      </c>
      <c r="D283" t="inlineStr">
        <is>
          <t>SÖDERMANLANDS LÄN</t>
        </is>
      </c>
      <c r="E283" t="inlineStr">
        <is>
          <t>KATRINEHOLM</t>
        </is>
      </c>
      <c r="G283" t="n">
        <v>7.6</v>
      </c>
      <c r="H283" t="n">
        <v>0</v>
      </c>
      <c r="I283" t="n">
        <v>0</v>
      </c>
      <c r="J283" t="n">
        <v>0</v>
      </c>
      <c r="K283" t="n">
        <v>0</v>
      </c>
      <c r="L283" t="n">
        <v>0</v>
      </c>
      <c r="M283" t="n">
        <v>0</v>
      </c>
      <c r="N283" t="n">
        <v>0</v>
      </c>
      <c r="O283" t="n">
        <v>0</v>
      </c>
      <c r="P283" t="n">
        <v>0</v>
      </c>
      <c r="Q283" t="n">
        <v>0</v>
      </c>
      <c r="R283" s="2" t="inlineStr"/>
    </row>
    <row r="284" ht="15" customHeight="1">
      <c r="A284" t="inlineStr">
        <is>
          <t>A 4679-2023</t>
        </is>
      </c>
      <c r="B284" s="1" t="n">
        <v>44957.44885416667</v>
      </c>
      <c r="C284" s="1" t="n">
        <v>45888</v>
      </c>
      <c r="D284" t="inlineStr">
        <is>
          <t>SÖDERMANLANDS LÄN</t>
        </is>
      </c>
      <c r="E284" t="inlineStr">
        <is>
          <t>KATRINEHOLM</t>
        </is>
      </c>
      <c r="G284" t="n">
        <v>5.3</v>
      </c>
      <c r="H284" t="n">
        <v>0</v>
      </c>
      <c r="I284" t="n">
        <v>0</v>
      </c>
      <c r="J284" t="n">
        <v>0</v>
      </c>
      <c r="K284" t="n">
        <v>0</v>
      </c>
      <c r="L284" t="n">
        <v>0</v>
      </c>
      <c r="M284" t="n">
        <v>0</v>
      </c>
      <c r="N284" t="n">
        <v>0</v>
      </c>
      <c r="O284" t="n">
        <v>0</v>
      </c>
      <c r="P284" t="n">
        <v>0</v>
      </c>
      <c r="Q284" t="n">
        <v>0</v>
      </c>
      <c r="R284" s="2" t="inlineStr"/>
    </row>
    <row r="285" ht="15" customHeight="1">
      <c r="A285" t="inlineStr">
        <is>
          <t>A 44915-2022</t>
        </is>
      </c>
      <c r="B285" s="1" t="n">
        <v>44840</v>
      </c>
      <c r="C285" s="1" t="n">
        <v>45888</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45793-2022</t>
        </is>
      </c>
      <c r="B286" s="1" t="n">
        <v>44844</v>
      </c>
      <c r="C286" s="1" t="n">
        <v>45888</v>
      </c>
      <c r="D286" t="inlineStr">
        <is>
          <t>SÖDERMANLANDS LÄN</t>
        </is>
      </c>
      <c r="E286" t="inlineStr">
        <is>
          <t>KATRINEHOLM</t>
        </is>
      </c>
      <c r="G286" t="n">
        <v>2.3</v>
      </c>
      <c r="H286" t="n">
        <v>0</v>
      </c>
      <c r="I286" t="n">
        <v>0</v>
      </c>
      <c r="J286" t="n">
        <v>0</v>
      </c>
      <c r="K286" t="n">
        <v>0</v>
      </c>
      <c r="L286" t="n">
        <v>0</v>
      </c>
      <c r="M286" t="n">
        <v>0</v>
      </c>
      <c r="N286" t="n">
        <v>0</v>
      </c>
      <c r="O286" t="n">
        <v>0</v>
      </c>
      <c r="P286" t="n">
        <v>0</v>
      </c>
      <c r="Q286" t="n">
        <v>0</v>
      </c>
      <c r="R286" s="2" t="inlineStr"/>
    </row>
    <row r="287" ht="15" customHeight="1">
      <c r="A287" t="inlineStr">
        <is>
          <t>A 17746-2024</t>
        </is>
      </c>
      <c r="B287" s="1" t="n">
        <v>45415</v>
      </c>
      <c r="C287" s="1" t="n">
        <v>45888</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57510-2021</t>
        </is>
      </c>
      <c r="B288" s="1" t="n">
        <v>44483</v>
      </c>
      <c r="C288" s="1" t="n">
        <v>45888</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34731-2023</t>
        </is>
      </c>
      <c r="B289" s="1" t="n">
        <v>45141</v>
      </c>
      <c r="C289" s="1" t="n">
        <v>45888</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45438-2021</t>
        </is>
      </c>
      <c r="B290" s="1" t="n">
        <v>44440</v>
      </c>
      <c r="C290" s="1" t="n">
        <v>45888</v>
      </c>
      <c r="D290" t="inlineStr">
        <is>
          <t>SÖDERMANLANDS LÄN</t>
        </is>
      </c>
      <c r="E290" t="inlineStr">
        <is>
          <t>KATRINEHOLM</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15184-2023</t>
        </is>
      </c>
      <c r="B291" s="1" t="n">
        <v>45016</v>
      </c>
      <c r="C291" s="1" t="n">
        <v>45888</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38826-2021</t>
        </is>
      </c>
      <c r="B292" s="1" t="n">
        <v>44411</v>
      </c>
      <c r="C292" s="1" t="n">
        <v>45888</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11875-2023</t>
        </is>
      </c>
      <c r="B293" s="1" t="n">
        <v>44995</v>
      </c>
      <c r="C293" s="1" t="n">
        <v>45888</v>
      </c>
      <c r="D293" t="inlineStr">
        <is>
          <t>SÖDERMANLANDS LÄN</t>
        </is>
      </c>
      <c r="E293" t="inlineStr">
        <is>
          <t>KATRINEHOLM</t>
        </is>
      </c>
      <c r="F293" t="inlineStr">
        <is>
          <t>Kommuner</t>
        </is>
      </c>
      <c r="G293" t="n">
        <v>1.1</v>
      </c>
      <c r="H293" t="n">
        <v>0</v>
      </c>
      <c r="I293" t="n">
        <v>0</v>
      </c>
      <c r="J293" t="n">
        <v>0</v>
      </c>
      <c r="K293" t="n">
        <v>0</v>
      </c>
      <c r="L293" t="n">
        <v>0</v>
      </c>
      <c r="M293" t="n">
        <v>0</v>
      </c>
      <c r="N293" t="n">
        <v>0</v>
      </c>
      <c r="O293" t="n">
        <v>0</v>
      </c>
      <c r="P293" t="n">
        <v>0</v>
      </c>
      <c r="Q293" t="n">
        <v>0</v>
      </c>
      <c r="R293" s="2" t="inlineStr"/>
    </row>
    <row r="294" ht="15" customHeight="1">
      <c r="A294" t="inlineStr">
        <is>
          <t>A 2320-2023</t>
        </is>
      </c>
      <c r="B294" s="1" t="n">
        <v>44942.58850694444</v>
      </c>
      <c r="C294" s="1" t="n">
        <v>45888</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2325-2023</t>
        </is>
      </c>
      <c r="B295" s="1" t="n">
        <v>44942</v>
      </c>
      <c r="C295" s="1" t="n">
        <v>45888</v>
      </c>
      <c r="D295" t="inlineStr">
        <is>
          <t>SÖDERMANLANDS LÄN</t>
        </is>
      </c>
      <c r="E295" t="inlineStr">
        <is>
          <t>KATRINEHOLM</t>
        </is>
      </c>
      <c r="G295" t="n">
        <v>5.6</v>
      </c>
      <c r="H295" t="n">
        <v>0</v>
      </c>
      <c r="I295" t="n">
        <v>0</v>
      </c>
      <c r="J295" t="n">
        <v>0</v>
      </c>
      <c r="K295" t="n">
        <v>0</v>
      </c>
      <c r="L295" t="n">
        <v>0</v>
      </c>
      <c r="M295" t="n">
        <v>0</v>
      </c>
      <c r="N295" t="n">
        <v>0</v>
      </c>
      <c r="O295" t="n">
        <v>0</v>
      </c>
      <c r="P295" t="n">
        <v>0</v>
      </c>
      <c r="Q295" t="n">
        <v>0</v>
      </c>
      <c r="R295" s="2" t="inlineStr"/>
    </row>
    <row r="296" ht="15" customHeight="1">
      <c r="A296" t="inlineStr">
        <is>
          <t>A 6808-2023</t>
        </is>
      </c>
      <c r="B296" s="1" t="n">
        <v>44964</v>
      </c>
      <c r="C296" s="1" t="n">
        <v>45888</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51128-2021</t>
        </is>
      </c>
      <c r="B297" s="1" t="n">
        <v>44460</v>
      </c>
      <c r="C297" s="1" t="n">
        <v>45888</v>
      </c>
      <c r="D297" t="inlineStr">
        <is>
          <t>SÖDERMANLANDS LÄN</t>
        </is>
      </c>
      <c r="E297" t="inlineStr">
        <is>
          <t>KATRINEHOLM</t>
        </is>
      </c>
      <c r="G297" t="n">
        <v>7.8</v>
      </c>
      <c r="H297" t="n">
        <v>0</v>
      </c>
      <c r="I297" t="n">
        <v>0</v>
      </c>
      <c r="J297" t="n">
        <v>0</v>
      </c>
      <c r="K297" t="n">
        <v>0</v>
      </c>
      <c r="L297" t="n">
        <v>0</v>
      </c>
      <c r="M297" t="n">
        <v>0</v>
      </c>
      <c r="N297" t="n">
        <v>0</v>
      </c>
      <c r="O297" t="n">
        <v>0</v>
      </c>
      <c r="P297" t="n">
        <v>0</v>
      </c>
      <c r="Q297" t="n">
        <v>0</v>
      </c>
      <c r="R297" s="2" t="inlineStr"/>
    </row>
    <row r="298" ht="15" customHeight="1">
      <c r="A298" t="inlineStr">
        <is>
          <t>A 51264-2021</t>
        </is>
      </c>
      <c r="B298" s="1" t="n">
        <v>44461</v>
      </c>
      <c r="C298" s="1" t="n">
        <v>45888</v>
      </c>
      <c r="D298" t="inlineStr">
        <is>
          <t>SÖDERMANLANDS LÄN</t>
        </is>
      </c>
      <c r="E298" t="inlineStr">
        <is>
          <t>KATRINEHOLM</t>
        </is>
      </c>
      <c r="G298" t="n">
        <v>3.1</v>
      </c>
      <c r="H298" t="n">
        <v>0</v>
      </c>
      <c r="I298" t="n">
        <v>0</v>
      </c>
      <c r="J298" t="n">
        <v>0</v>
      </c>
      <c r="K298" t="n">
        <v>0</v>
      </c>
      <c r="L298" t="n">
        <v>0</v>
      </c>
      <c r="M298" t="n">
        <v>0</v>
      </c>
      <c r="N298" t="n">
        <v>0</v>
      </c>
      <c r="O298" t="n">
        <v>0</v>
      </c>
      <c r="P298" t="n">
        <v>0</v>
      </c>
      <c r="Q298" t="n">
        <v>0</v>
      </c>
      <c r="R298" s="2" t="inlineStr"/>
    </row>
    <row r="299" ht="15" customHeight="1">
      <c r="A299" t="inlineStr">
        <is>
          <t>A 23207-2023</t>
        </is>
      </c>
      <c r="B299" s="1" t="n">
        <v>45071</v>
      </c>
      <c r="C299" s="1" t="n">
        <v>45888</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49112-2024</t>
        </is>
      </c>
      <c r="B300" s="1" t="n">
        <v>45594.65637731482</v>
      </c>
      <c r="C300" s="1" t="n">
        <v>45888</v>
      </c>
      <c r="D300" t="inlineStr">
        <is>
          <t>SÖDERMANLANDS LÄN</t>
        </is>
      </c>
      <c r="E300" t="inlineStr">
        <is>
          <t>KATRINEHOLM</t>
        </is>
      </c>
      <c r="G300" t="n">
        <v>3.6</v>
      </c>
      <c r="H300" t="n">
        <v>0</v>
      </c>
      <c r="I300" t="n">
        <v>0</v>
      </c>
      <c r="J300" t="n">
        <v>0</v>
      </c>
      <c r="K300" t="n">
        <v>0</v>
      </c>
      <c r="L300" t="n">
        <v>0</v>
      </c>
      <c r="M300" t="n">
        <v>0</v>
      </c>
      <c r="N300" t="n">
        <v>0</v>
      </c>
      <c r="O300" t="n">
        <v>0</v>
      </c>
      <c r="P300" t="n">
        <v>0</v>
      </c>
      <c r="Q300" t="n">
        <v>0</v>
      </c>
      <c r="R300" s="2" t="inlineStr"/>
    </row>
    <row r="301" ht="15" customHeight="1">
      <c r="A301" t="inlineStr">
        <is>
          <t>A 5935-2023</t>
        </is>
      </c>
      <c r="B301" s="1" t="n">
        <v>44963</v>
      </c>
      <c r="C301" s="1" t="n">
        <v>45888</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55732-2023</t>
        </is>
      </c>
      <c r="B302" s="1" t="n">
        <v>45239</v>
      </c>
      <c r="C302" s="1" t="n">
        <v>45888</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4387-2024</t>
        </is>
      </c>
      <c r="B303" s="1" t="n">
        <v>45327.35068287037</v>
      </c>
      <c r="C303" s="1" t="n">
        <v>45888</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11104-2023</t>
        </is>
      </c>
      <c r="B304" s="1" t="n">
        <v>44992</v>
      </c>
      <c r="C304" s="1" t="n">
        <v>45888</v>
      </c>
      <c r="D304" t="inlineStr">
        <is>
          <t>SÖDERMANLANDS LÄN</t>
        </is>
      </c>
      <c r="E304" t="inlineStr">
        <is>
          <t>KATRINEHOLM</t>
        </is>
      </c>
      <c r="F304" t="inlineStr">
        <is>
          <t>Allmännings- och besparingsskogar</t>
        </is>
      </c>
      <c r="G304" t="n">
        <v>7.8</v>
      </c>
      <c r="H304" t="n">
        <v>0</v>
      </c>
      <c r="I304" t="n">
        <v>0</v>
      </c>
      <c r="J304" t="n">
        <v>0</v>
      </c>
      <c r="K304" t="n">
        <v>0</v>
      </c>
      <c r="L304" t="n">
        <v>0</v>
      </c>
      <c r="M304" t="n">
        <v>0</v>
      </c>
      <c r="N304" t="n">
        <v>0</v>
      </c>
      <c r="O304" t="n">
        <v>0</v>
      </c>
      <c r="P304" t="n">
        <v>0</v>
      </c>
      <c r="Q304" t="n">
        <v>0</v>
      </c>
      <c r="R304" s="2" t="inlineStr"/>
    </row>
    <row r="305" ht="15" customHeight="1">
      <c r="A305" t="inlineStr">
        <is>
          <t>A 61167-2020</t>
        </is>
      </c>
      <c r="B305" s="1" t="n">
        <v>44155</v>
      </c>
      <c r="C305" s="1" t="n">
        <v>45888</v>
      </c>
      <c r="D305" t="inlineStr">
        <is>
          <t>SÖDERMANLANDS LÄN</t>
        </is>
      </c>
      <c r="E305" t="inlineStr">
        <is>
          <t>KATRINEHOLM</t>
        </is>
      </c>
      <c r="G305" t="n">
        <v>3.8</v>
      </c>
      <c r="H305" t="n">
        <v>0</v>
      </c>
      <c r="I305" t="n">
        <v>0</v>
      </c>
      <c r="J305" t="n">
        <v>0</v>
      </c>
      <c r="K305" t="n">
        <v>0</v>
      </c>
      <c r="L305" t="n">
        <v>0</v>
      </c>
      <c r="M305" t="n">
        <v>0</v>
      </c>
      <c r="N305" t="n">
        <v>0</v>
      </c>
      <c r="O305" t="n">
        <v>0</v>
      </c>
      <c r="P305" t="n">
        <v>0</v>
      </c>
      <c r="Q305" t="n">
        <v>0</v>
      </c>
      <c r="R305" s="2" t="inlineStr"/>
    </row>
    <row r="306" ht="15" customHeight="1">
      <c r="A306" t="inlineStr">
        <is>
          <t>A 40159-2023</t>
        </is>
      </c>
      <c r="B306" s="1" t="n">
        <v>45169</v>
      </c>
      <c r="C306" s="1" t="n">
        <v>45888</v>
      </c>
      <c r="D306" t="inlineStr">
        <is>
          <t>SÖDERMANLANDS LÄN</t>
        </is>
      </c>
      <c r="E306" t="inlineStr">
        <is>
          <t>KATRINEHOLM</t>
        </is>
      </c>
      <c r="F306" t="inlineStr">
        <is>
          <t>Övriga Aktiebolag</t>
        </is>
      </c>
      <c r="G306" t="n">
        <v>1.1</v>
      </c>
      <c r="H306" t="n">
        <v>0</v>
      </c>
      <c r="I306" t="n">
        <v>0</v>
      </c>
      <c r="J306" t="n">
        <v>0</v>
      </c>
      <c r="K306" t="n">
        <v>0</v>
      </c>
      <c r="L306" t="n">
        <v>0</v>
      </c>
      <c r="M306" t="n">
        <v>0</v>
      </c>
      <c r="N306" t="n">
        <v>0</v>
      </c>
      <c r="O306" t="n">
        <v>0</v>
      </c>
      <c r="P306" t="n">
        <v>0</v>
      </c>
      <c r="Q306" t="n">
        <v>0</v>
      </c>
      <c r="R306" s="2" t="inlineStr"/>
    </row>
    <row r="307" ht="15" customHeight="1">
      <c r="A307" t="inlineStr">
        <is>
          <t>A 36562-2023</t>
        </is>
      </c>
      <c r="B307" s="1" t="n">
        <v>45153</v>
      </c>
      <c r="C307" s="1" t="n">
        <v>45888</v>
      </c>
      <c r="D307" t="inlineStr">
        <is>
          <t>SÖDERMANLANDS LÄN</t>
        </is>
      </c>
      <c r="E307" t="inlineStr">
        <is>
          <t>KATRINEHOLM</t>
        </is>
      </c>
      <c r="G307" t="n">
        <v>5.8</v>
      </c>
      <c r="H307" t="n">
        <v>0</v>
      </c>
      <c r="I307" t="n">
        <v>0</v>
      </c>
      <c r="J307" t="n">
        <v>0</v>
      </c>
      <c r="K307" t="n">
        <v>0</v>
      </c>
      <c r="L307" t="n">
        <v>0</v>
      </c>
      <c r="M307" t="n">
        <v>0</v>
      </c>
      <c r="N307" t="n">
        <v>0</v>
      </c>
      <c r="O307" t="n">
        <v>0</v>
      </c>
      <c r="P307" t="n">
        <v>0</v>
      </c>
      <c r="Q307" t="n">
        <v>0</v>
      </c>
      <c r="R307" s="2" t="inlineStr"/>
    </row>
    <row r="308" ht="15" customHeight="1">
      <c r="A308" t="inlineStr">
        <is>
          <t>A 18097-2025</t>
        </is>
      </c>
      <c r="B308" s="1" t="n">
        <v>45761</v>
      </c>
      <c r="C308" s="1" t="n">
        <v>45888</v>
      </c>
      <c r="D308" t="inlineStr">
        <is>
          <t>SÖDERMANLANDS LÄN</t>
        </is>
      </c>
      <c r="E308" t="inlineStr">
        <is>
          <t>KATRINEHOLM</t>
        </is>
      </c>
      <c r="G308" t="n">
        <v>10.9</v>
      </c>
      <c r="H308" t="n">
        <v>0</v>
      </c>
      <c r="I308" t="n">
        <v>0</v>
      </c>
      <c r="J308" t="n">
        <v>0</v>
      </c>
      <c r="K308" t="n">
        <v>0</v>
      </c>
      <c r="L308" t="n">
        <v>0</v>
      </c>
      <c r="M308" t="n">
        <v>0</v>
      </c>
      <c r="N308" t="n">
        <v>0</v>
      </c>
      <c r="O308" t="n">
        <v>0</v>
      </c>
      <c r="P308" t="n">
        <v>0</v>
      </c>
      <c r="Q308" t="n">
        <v>0</v>
      </c>
      <c r="R308" s="2" t="inlineStr"/>
    </row>
    <row r="309" ht="15" customHeight="1">
      <c r="A309" t="inlineStr">
        <is>
          <t>A 4872-2024</t>
        </is>
      </c>
      <c r="B309" s="1" t="n">
        <v>45329</v>
      </c>
      <c r="C309" s="1" t="n">
        <v>45888</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6611-2023</t>
        </is>
      </c>
      <c r="B310" s="1" t="n">
        <v>44963</v>
      </c>
      <c r="C310" s="1" t="n">
        <v>45888</v>
      </c>
      <c r="D310" t="inlineStr">
        <is>
          <t>SÖDERMANLANDS LÄN</t>
        </is>
      </c>
      <c r="E310" t="inlineStr">
        <is>
          <t>KATRINEHOLM</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18386-2025</t>
        </is>
      </c>
      <c r="B311" s="1" t="n">
        <v>45762</v>
      </c>
      <c r="C311" s="1" t="n">
        <v>45888</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25823-2023</t>
        </is>
      </c>
      <c r="B312" s="1" t="n">
        <v>45090.55078703703</v>
      </c>
      <c r="C312" s="1" t="n">
        <v>45888</v>
      </c>
      <c r="D312" t="inlineStr">
        <is>
          <t>SÖDERMANLANDS LÄN</t>
        </is>
      </c>
      <c r="E312" t="inlineStr">
        <is>
          <t>KATRINEHOLM</t>
        </is>
      </c>
      <c r="F312" t="inlineStr">
        <is>
          <t>Kyrkan</t>
        </is>
      </c>
      <c r="G312" t="n">
        <v>10.2</v>
      </c>
      <c r="H312" t="n">
        <v>0</v>
      </c>
      <c r="I312" t="n">
        <v>0</v>
      </c>
      <c r="J312" t="n">
        <v>0</v>
      </c>
      <c r="K312" t="n">
        <v>0</v>
      </c>
      <c r="L312" t="n">
        <v>0</v>
      </c>
      <c r="M312" t="n">
        <v>0</v>
      </c>
      <c r="N312" t="n">
        <v>0</v>
      </c>
      <c r="O312" t="n">
        <v>0</v>
      </c>
      <c r="P312" t="n">
        <v>0</v>
      </c>
      <c r="Q312" t="n">
        <v>0</v>
      </c>
      <c r="R312" s="2" t="inlineStr"/>
    </row>
    <row r="313" ht="15" customHeight="1">
      <c r="A313" t="inlineStr">
        <is>
          <t>A 61398-2024</t>
        </is>
      </c>
      <c r="B313" s="1" t="n">
        <v>45646.42608796297</v>
      </c>
      <c r="C313" s="1" t="n">
        <v>45888</v>
      </c>
      <c r="D313" t="inlineStr">
        <is>
          <t>SÖDERMANLANDS LÄN</t>
        </is>
      </c>
      <c r="E313" t="inlineStr">
        <is>
          <t>KATRINEHOLM</t>
        </is>
      </c>
      <c r="G313" t="n">
        <v>0.7</v>
      </c>
      <c r="H313" t="n">
        <v>0</v>
      </c>
      <c r="I313" t="n">
        <v>0</v>
      </c>
      <c r="J313" t="n">
        <v>0</v>
      </c>
      <c r="K313" t="n">
        <v>0</v>
      </c>
      <c r="L313" t="n">
        <v>0</v>
      </c>
      <c r="M313" t="n">
        <v>0</v>
      </c>
      <c r="N313" t="n">
        <v>0</v>
      </c>
      <c r="O313" t="n">
        <v>0</v>
      </c>
      <c r="P313" t="n">
        <v>0</v>
      </c>
      <c r="Q313" t="n">
        <v>0</v>
      </c>
      <c r="R313" s="2" t="inlineStr"/>
    </row>
    <row r="314" ht="15" customHeight="1">
      <c r="A314" t="inlineStr">
        <is>
          <t>A 20480-2022</t>
        </is>
      </c>
      <c r="B314" s="1" t="n">
        <v>44699</v>
      </c>
      <c r="C314" s="1" t="n">
        <v>45888</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3060-2022</t>
        </is>
      </c>
      <c r="B315" s="1" t="n">
        <v>44582.40109953703</v>
      </c>
      <c r="C315" s="1" t="n">
        <v>45888</v>
      </c>
      <c r="D315" t="inlineStr">
        <is>
          <t>SÖDERMANLANDS LÄN</t>
        </is>
      </c>
      <c r="E315" t="inlineStr">
        <is>
          <t>KATRINEHOLM</t>
        </is>
      </c>
      <c r="G315" t="n">
        <v>1.6</v>
      </c>
      <c r="H315" t="n">
        <v>0</v>
      </c>
      <c r="I315" t="n">
        <v>0</v>
      </c>
      <c r="J315" t="n">
        <v>0</v>
      </c>
      <c r="K315" t="n">
        <v>0</v>
      </c>
      <c r="L315" t="n">
        <v>0</v>
      </c>
      <c r="M315" t="n">
        <v>0</v>
      </c>
      <c r="N315" t="n">
        <v>0</v>
      </c>
      <c r="O315" t="n">
        <v>0</v>
      </c>
      <c r="P315" t="n">
        <v>0</v>
      </c>
      <c r="Q315" t="n">
        <v>0</v>
      </c>
      <c r="R315" s="2" t="inlineStr"/>
    </row>
    <row r="316" ht="15" customHeight="1">
      <c r="A316" t="inlineStr">
        <is>
          <t>A 14313-2024</t>
        </is>
      </c>
      <c r="B316" s="1" t="n">
        <v>45393</v>
      </c>
      <c r="C316" s="1" t="n">
        <v>45888</v>
      </c>
      <c r="D316" t="inlineStr">
        <is>
          <t>SÖDERMANLANDS LÄN</t>
        </is>
      </c>
      <c r="E316" t="inlineStr">
        <is>
          <t>KATRINEHOLM</t>
        </is>
      </c>
      <c r="G316" t="n">
        <v>3.1</v>
      </c>
      <c r="H316" t="n">
        <v>0</v>
      </c>
      <c r="I316" t="n">
        <v>0</v>
      </c>
      <c r="J316" t="n">
        <v>0</v>
      </c>
      <c r="K316" t="n">
        <v>0</v>
      </c>
      <c r="L316" t="n">
        <v>0</v>
      </c>
      <c r="M316" t="n">
        <v>0</v>
      </c>
      <c r="N316" t="n">
        <v>0</v>
      </c>
      <c r="O316" t="n">
        <v>0</v>
      </c>
      <c r="P316" t="n">
        <v>0</v>
      </c>
      <c r="Q316" t="n">
        <v>0</v>
      </c>
      <c r="R316" s="2" t="inlineStr"/>
    </row>
    <row r="317" ht="15" customHeight="1">
      <c r="A317" t="inlineStr">
        <is>
          <t>A 17792-2025</t>
        </is>
      </c>
      <c r="B317" s="1" t="n">
        <v>45758</v>
      </c>
      <c r="C317" s="1" t="n">
        <v>45888</v>
      </c>
      <c r="D317" t="inlineStr">
        <is>
          <t>SÖDERMANLANDS LÄN</t>
        </is>
      </c>
      <c r="E317" t="inlineStr">
        <is>
          <t>KATRINEHOLM</t>
        </is>
      </c>
      <c r="G317" t="n">
        <v>4.2</v>
      </c>
      <c r="H317" t="n">
        <v>0</v>
      </c>
      <c r="I317" t="n">
        <v>0</v>
      </c>
      <c r="J317" t="n">
        <v>0</v>
      </c>
      <c r="K317" t="n">
        <v>0</v>
      </c>
      <c r="L317" t="n">
        <v>0</v>
      </c>
      <c r="M317" t="n">
        <v>0</v>
      </c>
      <c r="N317" t="n">
        <v>0</v>
      </c>
      <c r="O317" t="n">
        <v>0</v>
      </c>
      <c r="P317" t="n">
        <v>0</v>
      </c>
      <c r="Q317" t="n">
        <v>0</v>
      </c>
      <c r="R317" s="2" t="inlineStr"/>
    </row>
    <row r="318" ht="15" customHeight="1">
      <c r="A318" t="inlineStr">
        <is>
          <t>A 12938-2023</t>
        </is>
      </c>
      <c r="B318" s="1" t="n">
        <v>45001</v>
      </c>
      <c r="C318" s="1" t="n">
        <v>45888</v>
      </c>
      <c r="D318" t="inlineStr">
        <is>
          <t>SÖDERMANLANDS LÄN</t>
        </is>
      </c>
      <c r="E318" t="inlineStr">
        <is>
          <t>KATRINEHOLM</t>
        </is>
      </c>
      <c r="G318" t="n">
        <v>0.4</v>
      </c>
      <c r="H318" t="n">
        <v>0</v>
      </c>
      <c r="I318" t="n">
        <v>0</v>
      </c>
      <c r="J318" t="n">
        <v>0</v>
      </c>
      <c r="K318" t="n">
        <v>0</v>
      </c>
      <c r="L318" t="n">
        <v>0</v>
      </c>
      <c r="M318" t="n">
        <v>0</v>
      </c>
      <c r="N318" t="n">
        <v>0</v>
      </c>
      <c r="O318" t="n">
        <v>0</v>
      </c>
      <c r="P318" t="n">
        <v>0</v>
      </c>
      <c r="Q318" t="n">
        <v>0</v>
      </c>
      <c r="R318" s="2" t="inlineStr"/>
    </row>
    <row r="319" ht="15" customHeight="1">
      <c r="A319" t="inlineStr">
        <is>
          <t>A 7398-2024</t>
        </is>
      </c>
      <c r="B319" s="1" t="n">
        <v>45345</v>
      </c>
      <c r="C319" s="1" t="n">
        <v>45888</v>
      </c>
      <c r="D319" t="inlineStr">
        <is>
          <t>SÖDERMANLANDS LÄN</t>
        </is>
      </c>
      <c r="E319" t="inlineStr">
        <is>
          <t>KATRINEHOLM</t>
        </is>
      </c>
      <c r="G319" t="n">
        <v>4.4</v>
      </c>
      <c r="H319" t="n">
        <v>0</v>
      </c>
      <c r="I319" t="n">
        <v>0</v>
      </c>
      <c r="J319" t="n">
        <v>0</v>
      </c>
      <c r="K319" t="n">
        <v>0</v>
      </c>
      <c r="L319" t="n">
        <v>0</v>
      </c>
      <c r="M319" t="n">
        <v>0</v>
      </c>
      <c r="N319" t="n">
        <v>0</v>
      </c>
      <c r="O319" t="n">
        <v>0</v>
      </c>
      <c r="P319" t="n">
        <v>0</v>
      </c>
      <c r="Q319" t="n">
        <v>0</v>
      </c>
      <c r="R319" s="2" t="inlineStr"/>
    </row>
    <row r="320" ht="15" customHeight="1">
      <c r="A320" t="inlineStr">
        <is>
          <t>A 58473-2021</t>
        </is>
      </c>
      <c r="B320" s="1" t="n">
        <v>44488</v>
      </c>
      <c r="C320" s="1" t="n">
        <v>45888</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3075-2022</t>
        </is>
      </c>
      <c r="B321" s="1" t="n">
        <v>44582</v>
      </c>
      <c r="C321" s="1" t="n">
        <v>45888</v>
      </c>
      <c r="D321" t="inlineStr">
        <is>
          <t>SÖDERMANLANDS LÄN</t>
        </is>
      </c>
      <c r="E321" t="inlineStr">
        <is>
          <t>KATRINEHOLM</t>
        </is>
      </c>
      <c r="G321" t="n">
        <v>3.5</v>
      </c>
      <c r="H321" t="n">
        <v>0</v>
      </c>
      <c r="I321" t="n">
        <v>0</v>
      </c>
      <c r="J321" t="n">
        <v>0</v>
      </c>
      <c r="K321" t="n">
        <v>0</v>
      </c>
      <c r="L321" t="n">
        <v>0</v>
      </c>
      <c r="M321" t="n">
        <v>0</v>
      </c>
      <c r="N321" t="n">
        <v>0</v>
      </c>
      <c r="O321" t="n">
        <v>0</v>
      </c>
      <c r="P321" t="n">
        <v>0</v>
      </c>
      <c r="Q321" t="n">
        <v>0</v>
      </c>
      <c r="R321" s="2" t="inlineStr"/>
    </row>
    <row r="322" ht="15" customHeight="1">
      <c r="A322" t="inlineStr">
        <is>
          <t>A 53860-2021</t>
        </is>
      </c>
      <c r="B322" s="1" t="n">
        <v>44467</v>
      </c>
      <c r="C322" s="1" t="n">
        <v>45888</v>
      </c>
      <c r="D322" t="inlineStr">
        <is>
          <t>SÖDERMANLANDS LÄN</t>
        </is>
      </c>
      <c r="E322" t="inlineStr">
        <is>
          <t>KATRINEHOLM</t>
        </is>
      </c>
      <c r="G322" t="n">
        <v>1.3</v>
      </c>
      <c r="H322" t="n">
        <v>0</v>
      </c>
      <c r="I322" t="n">
        <v>0</v>
      </c>
      <c r="J322" t="n">
        <v>0</v>
      </c>
      <c r="K322" t="n">
        <v>0</v>
      </c>
      <c r="L322" t="n">
        <v>0</v>
      </c>
      <c r="M322" t="n">
        <v>0</v>
      </c>
      <c r="N322" t="n">
        <v>0</v>
      </c>
      <c r="O322" t="n">
        <v>0</v>
      </c>
      <c r="P322" t="n">
        <v>0</v>
      </c>
      <c r="Q322" t="n">
        <v>0</v>
      </c>
      <c r="R322" s="2" t="inlineStr"/>
    </row>
    <row r="323" ht="15" customHeight="1">
      <c r="A323" t="inlineStr">
        <is>
          <t>A 9388-2021</t>
        </is>
      </c>
      <c r="B323" s="1" t="n">
        <v>44250</v>
      </c>
      <c r="C323" s="1" t="n">
        <v>45888</v>
      </c>
      <c r="D323" t="inlineStr">
        <is>
          <t>SÖDERMANLANDS LÄN</t>
        </is>
      </c>
      <c r="E323" t="inlineStr">
        <is>
          <t>KATRINEHOLM</t>
        </is>
      </c>
      <c r="G323" t="n">
        <v>5.4</v>
      </c>
      <c r="H323" t="n">
        <v>0</v>
      </c>
      <c r="I323" t="n">
        <v>0</v>
      </c>
      <c r="J323" t="n">
        <v>0</v>
      </c>
      <c r="K323" t="n">
        <v>0</v>
      </c>
      <c r="L323" t="n">
        <v>0</v>
      </c>
      <c r="M323" t="n">
        <v>0</v>
      </c>
      <c r="N323" t="n">
        <v>0</v>
      </c>
      <c r="O323" t="n">
        <v>0</v>
      </c>
      <c r="P323" t="n">
        <v>0</v>
      </c>
      <c r="Q323" t="n">
        <v>0</v>
      </c>
      <c r="R323" s="2" t="inlineStr"/>
    </row>
    <row r="324" ht="15" customHeight="1">
      <c r="A324" t="inlineStr">
        <is>
          <t>A 8955-2024</t>
        </is>
      </c>
      <c r="B324" s="1" t="n">
        <v>45357.44873842593</v>
      </c>
      <c r="C324" s="1" t="n">
        <v>45888</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20533-2023</t>
        </is>
      </c>
      <c r="B325" s="1" t="n">
        <v>45057</v>
      </c>
      <c r="C325" s="1" t="n">
        <v>45888</v>
      </c>
      <c r="D325" t="inlineStr">
        <is>
          <t>SÖDERMANLANDS LÄN</t>
        </is>
      </c>
      <c r="E325" t="inlineStr">
        <is>
          <t>KATRINEHOLM</t>
        </is>
      </c>
      <c r="G325" t="n">
        <v>1.2</v>
      </c>
      <c r="H325" t="n">
        <v>0</v>
      </c>
      <c r="I325" t="n">
        <v>0</v>
      </c>
      <c r="J325" t="n">
        <v>0</v>
      </c>
      <c r="K325" t="n">
        <v>0</v>
      </c>
      <c r="L325" t="n">
        <v>0</v>
      </c>
      <c r="M325" t="n">
        <v>0</v>
      </c>
      <c r="N325" t="n">
        <v>0</v>
      </c>
      <c r="O325" t="n">
        <v>0</v>
      </c>
      <c r="P325" t="n">
        <v>0</v>
      </c>
      <c r="Q325" t="n">
        <v>0</v>
      </c>
      <c r="R325" s="2" t="inlineStr"/>
      <c r="T325">
        <f>HYPERLINK("https://klasma.github.io/Logging_0483/kartor/A 20533-2023 karta.png", "A 20533-2023")</f>
        <v/>
      </c>
      <c r="V325">
        <f>HYPERLINK("https://klasma.github.io/Logging_0483/klagomål/A 20533-2023 FSC-klagomål.docx", "A 20533-2023")</f>
        <v/>
      </c>
      <c r="W325">
        <f>HYPERLINK("https://klasma.github.io/Logging_0483/klagomålsmail/A 20533-2023 FSC-klagomål mail.docx", "A 20533-2023")</f>
        <v/>
      </c>
      <c r="X325">
        <f>HYPERLINK("https://klasma.github.io/Logging_0483/tillsyn/A 20533-2023 tillsynsbegäran.docx", "A 20533-2023")</f>
        <v/>
      </c>
      <c r="Y325">
        <f>HYPERLINK("https://klasma.github.io/Logging_0483/tillsynsmail/A 20533-2023 tillsynsbegäran mail.docx", "A 20533-2023")</f>
        <v/>
      </c>
      <c r="Z325">
        <f>HYPERLINK("https://klasma.github.io/Logging_0483/fåglar/A 20533-2023 prioriterade fågelarter.docx", "A 20533-2023")</f>
        <v/>
      </c>
    </row>
    <row r="326" ht="15" customHeight="1">
      <c r="A326" t="inlineStr">
        <is>
          <t>A 36001-2024</t>
        </is>
      </c>
      <c r="B326" s="1" t="n">
        <v>45533.54609953704</v>
      </c>
      <c r="C326" s="1" t="n">
        <v>45888</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36-2023</t>
        </is>
      </c>
      <c r="B327" s="1" t="n">
        <v>44928.36578703704</v>
      </c>
      <c r="C327" s="1" t="n">
        <v>45888</v>
      </c>
      <c r="D327" t="inlineStr">
        <is>
          <t>SÖDERMANLANDS LÄN</t>
        </is>
      </c>
      <c r="E327" t="inlineStr">
        <is>
          <t>KATRINEHOLM</t>
        </is>
      </c>
      <c r="G327" t="n">
        <v>3.7</v>
      </c>
      <c r="H327" t="n">
        <v>0</v>
      </c>
      <c r="I327" t="n">
        <v>0</v>
      </c>
      <c r="J327" t="n">
        <v>0</v>
      </c>
      <c r="K327" t="n">
        <v>0</v>
      </c>
      <c r="L327" t="n">
        <v>0</v>
      </c>
      <c r="M327" t="n">
        <v>0</v>
      </c>
      <c r="N327" t="n">
        <v>0</v>
      </c>
      <c r="O327" t="n">
        <v>0</v>
      </c>
      <c r="P327" t="n">
        <v>0</v>
      </c>
      <c r="Q327" t="n">
        <v>0</v>
      </c>
      <c r="R327" s="2" t="inlineStr"/>
    </row>
    <row r="328" ht="15" customHeight="1">
      <c r="A328" t="inlineStr">
        <is>
          <t>A 59749-2020</t>
        </is>
      </c>
      <c r="B328" s="1" t="n">
        <v>44151</v>
      </c>
      <c r="C328" s="1" t="n">
        <v>45888</v>
      </c>
      <c r="D328" t="inlineStr">
        <is>
          <t>SÖDERMANLANDS LÄN</t>
        </is>
      </c>
      <c r="E328" t="inlineStr">
        <is>
          <t>KATRINEHOLM</t>
        </is>
      </c>
      <c r="G328" t="n">
        <v>2.1</v>
      </c>
      <c r="H328" t="n">
        <v>0</v>
      </c>
      <c r="I328" t="n">
        <v>0</v>
      </c>
      <c r="J328" t="n">
        <v>0</v>
      </c>
      <c r="K328" t="n">
        <v>0</v>
      </c>
      <c r="L328" t="n">
        <v>0</v>
      </c>
      <c r="M328" t="n">
        <v>0</v>
      </c>
      <c r="N328" t="n">
        <v>0</v>
      </c>
      <c r="O328" t="n">
        <v>0</v>
      </c>
      <c r="P328" t="n">
        <v>0</v>
      </c>
      <c r="Q328" t="n">
        <v>0</v>
      </c>
      <c r="R328" s="2" t="inlineStr"/>
    </row>
    <row r="329" ht="15" customHeight="1">
      <c r="A329" t="inlineStr">
        <is>
          <t>A 58958-2020</t>
        </is>
      </c>
      <c r="B329" s="1" t="n">
        <v>44146</v>
      </c>
      <c r="C329" s="1" t="n">
        <v>45888</v>
      </c>
      <c r="D329" t="inlineStr">
        <is>
          <t>SÖDERMANLANDS LÄN</t>
        </is>
      </c>
      <c r="E329" t="inlineStr">
        <is>
          <t>KATRINEHOLM</t>
        </is>
      </c>
      <c r="F329" t="inlineStr">
        <is>
          <t>Holmen skog AB</t>
        </is>
      </c>
      <c r="G329" t="n">
        <v>0.2</v>
      </c>
      <c r="H329" t="n">
        <v>0</v>
      </c>
      <c r="I329" t="n">
        <v>0</v>
      </c>
      <c r="J329" t="n">
        <v>0</v>
      </c>
      <c r="K329" t="n">
        <v>0</v>
      </c>
      <c r="L329" t="n">
        <v>0</v>
      </c>
      <c r="M329" t="n">
        <v>0</v>
      </c>
      <c r="N329" t="n">
        <v>0</v>
      </c>
      <c r="O329" t="n">
        <v>0</v>
      </c>
      <c r="P329" t="n">
        <v>0</v>
      </c>
      <c r="Q329" t="n">
        <v>0</v>
      </c>
      <c r="R329" s="2" t="inlineStr"/>
    </row>
    <row r="330" ht="15" customHeight="1">
      <c r="A330" t="inlineStr">
        <is>
          <t>A 13175-2024</t>
        </is>
      </c>
      <c r="B330" s="1" t="n">
        <v>45386</v>
      </c>
      <c r="C330" s="1" t="n">
        <v>45888</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26081-2024</t>
        </is>
      </c>
      <c r="B331" s="1" t="n">
        <v>45462</v>
      </c>
      <c r="C331" s="1" t="n">
        <v>45888</v>
      </c>
      <c r="D331" t="inlineStr">
        <is>
          <t>SÖDERMANLANDS LÄN</t>
        </is>
      </c>
      <c r="E331" t="inlineStr">
        <is>
          <t>KATRINEHOLM</t>
        </is>
      </c>
      <c r="G331" t="n">
        <v>4.1</v>
      </c>
      <c r="H331" t="n">
        <v>0</v>
      </c>
      <c r="I331" t="n">
        <v>0</v>
      </c>
      <c r="J331" t="n">
        <v>0</v>
      </c>
      <c r="K331" t="n">
        <v>0</v>
      </c>
      <c r="L331" t="n">
        <v>0</v>
      </c>
      <c r="M331" t="n">
        <v>0</v>
      </c>
      <c r="N331" t="n">
        <v>0</v>
      </c>
      <c r="O331" t="n">
        <v>0</v>
      </c>
      <c r="P331" t="n">
        <v>0</v>
      </c>
      <c r="Q331" t="n">
        <v>0</v>
      </c>
      <c r="R331" s="2" t="inlineStr"/>
    </row>
    <row r="332" ht="15" customHeight="1">
      <c r="A332" t="inlineStr">
        <is>
          <t>A 4667-2024</t>
        </is>
      </c>
      <c r="B332" s="1" t="n">
        <v>45328.47</v>
      </c>
      <c r="C332" s="1" t="n">
        <v>45888</v>
      </c>
      <c r="D332" t="inlineStr">
        <is>
          <t>SÖDERMANLANDS LÄN</t>
        </is>
      </c>
      <c r="E332" t="inlineStr">
        <is>
          <t>KATRINEHOLM</t>
        </is>
      </c>
      <c r="F332" t="inlineStr">
        <is>
          <t>Övriga Aktiebolag</t>
        </is>
      </c>
      <c r="G332" t="n">
        <v>10.2</v>
      </c>
      <c r="H332" t="n">
        <v>0</v>
      </c>
      <c r="I332" t="n">
        <v>0</v>
      </c>
      <c r="J332" t="n">
        <v>0</v>
      </c>
      <c r="K332" t="n">
        <v>0</v>
      </c>
      <c r="L332" t="n">
        <v>0</v>
      </c>
      <c r="M332" t="n">
        <v>0</v>
      </c>
      <c r="N332" t="n">
        <v>0</v>
      </c>
      <c r="O332" t="n">
        <v>0</v>
      </c>
      <c r="P332" t="n">
        <v>0</v>
      </c>
      <c r="Q332" t="n">
        <v>0</v>
      </c>
      <c r="R332" s="2" t="inlineStr"/>
    </row>
    <row r="333" ht="15" customHeight="1">
      <c r="A333" t="inlineStr">
        <is>
          <t>A 5953-2021</t>
        </is>
      </c>
      <c r="B333" s="1" t="n">
        <v>44231</v>
      </c>
      <c r="C333" s="1" t="n">
        <v>45888</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19107-2022</t>
        </is>
      </c>
      <c r="B334" s="1" t="n">
        <v>44691.54077546296</v>
      </c>
      <c r="C334" s="1" t="n">
        <v>45888</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46569-2022</t>
        </is>
      </c>
      <c r="B335" s="1" t="n">
        <v>44847</v>
      </c>
      <c r="C335" s="1" t="n">
        <v>45888</v>
      </c>
      <c r="D335" t="inlineStr">
        <is>
          <t>SÖDERMANLANDS LÄN</t>
        </is>
      </c>
      <c r="E335" t="inlineStr">
        <is>
          <t>KATRINEHOLM</t>
        </is>
      </c>
      <c r="G335" t="n">
        <v>1.7</v>
      </c>
      <c r="H335" t="n">
        <v>0</v>
      </c>
      <c r="I335" t="n">
        <v>0</v>
      </c>
      <c r="J335" t="n">
        <v>0</v>
      </c>
      <c r="K335" t="n">
        <v>0</v>
      </c>
      <c r="L335" t="n">
        <v>0</v>
      </c>
      <c r="M335" t="n">
        <v>0</v>
      </c>
      <c r="N335" t="n">
        <v>0</v>
      </c>
      <c r="O335" t="n">
        <v>0</v>
      </c>
      <c r="P335" t="n">
        <v>0</v>
      </c>
      <c r="Q335" t="n">
        <v>0</v>
      </c>
      <c r="R335" s="2" t="inlineStr"/>
    </row>
    <row r="336" ht="15" customHeight="1">
      <c r="A336" t="inlineStr">
        <is>
          <t>A 19098-2022</t>
        </is>
      </c>
      <c r="B336" s="1" t="n">
        <v>44691.52616898148</v>
      </c>
      <c r="C336" s="1" t="n">
        <v>45888</v>
      </c>
      <c r="D336" t="inlineStr">
        <is>
          <t>SÖDERMANLANDS LÄN</t>
        </is>
      </c>
      <c r="E336" t="inlineStr">
        <is>
          <t>KATRINEHOLM</t>
        </is>
      </c>
      <c r="G336" t="n">
        <v>5.5</v>
      </c>
      <c r="H336" t="n">
        <v>0</v>
      </c>
      <c r="I336" t="n">
        <v>0</v>
      </c>
      <c r="J336" t="n">
        <v>0</v>
      </c>
      <c r="K336" t="n">
        <v>0</v>
      </c>
      <c r="L336" t="n">
        <v>0</v>
      </c>
      <c r="M336" t="n">
        <v>0</v>
      </c>
      <c r="N336" t="n">
        <v>0</v>
      </c>
      <c r="O336" t="n">
        <v>0</v>
      </c>
      <c r="P336" t="n">
        <v>0</v>
      </c>
      <c r="Q336" t="n">
        <v>0</v>
      </c>
      <c r="R336" s="2" t="inlineStr"/>
    </row>
    <row r="337" ht="15" customHeight="1">
      <c r="A337" t="inlineStr">
        <is>
          <t>A 11454-2025</t>
        </is>
      </c>
      <c r="B337" s="1" t="n">
        <v>45726.64574074074</v>
      </c>
      <c r="C337" s="1" t="n">
        <v>45888</v>
      </c>
      <c r="D337" t="inlineStr">
        <is>
          <t>SÖDERMANLANDS LÄN</t>
        </is>
      </c>
      <c r="E337" t="inlineStr">
        <is>
          <t>KATRINEHOLM</t>
        </is>
      </c>
      <c r="G337" t="n">
        <v>3.3</v>
      </c>
      <c r="H337" t="n">
        <v>0</v>
      </c>
      <c r="I337" t="n">
        <v>0</v>
      </c>
      <c r="J337" t="n">
        <v>0</v>
      </c>
      <c r="K337" t="n">
        <v>0</v>
      </c>
      <c r="L337" t="n">
        <v>0</v>
      </c>
      <c r="M337" t="n">
        <v>0</v>
      </c>
      <c r="N337" t="n">
        <v>0</v>
      </c>
      <c r="O337" t="n">
        <v>0</v>
      </c>
      <c r="P337" t="n">
        <v>0</v>
      </c>
      <c r="Q337" t="n">
        <v>0</v>
      </c>
      <c r="R337" s="2" t="inlineStr"/>
    </row>
    <row r="338" ht="15" customHeight="1">
      <c r="A338" t="inlineStr">
        <is>
          <t>A 11543-2025</t>
        </is>
      </c>
      <c r="B338" s="1" t="n">
        <v>45727.34248842593</v>
      </c>
      <c r="C338" s="1" t="n">
        <v>45888</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51530-2023</t>
        </is>
      </c>
      <c r="B339" s="1" t="n">
        <v>45222</v>
      </c>
      <c r="C339" s="1" t="n">
        <v>45888</v>
      </c>
      <c r="D339" t="inlineStr">
        <is>
          <t>SÖDERMANLANDS LÄN</t>
        </is>
      </c>
      <c r="E339" t="inlineStr">
        <is>
          <t>KATRINEHOLM</t>
        </is>
      </c>
      <c r="G339" t="n">
        <v>0.9</v>
      </c>
      <c r="H339" t="n">
        <v>0</v>
      </c>
      <c r="I339" t="n">
        <v>0</v>
      </c>
      <c r="J339" t="n">
        <v>0</v>
      </c>
      <c r="K339" t="n">
        <v>0</v>
      </c>
      <c r="L339" t="n">
        <v>0</v>
      </c>
      <c r="M339" t="n">
        <v>0</v>
      </c>
      <c r="N339" t="n">
        <v>0</v>
      </c>
      <c r="O339" t="n">
        <v>0</v>
      </c>
      <c r="P339" t="n">
        <v>0</v>
      </c>
      <c r="Q339" t="n">
        <v>0</v>
      </c>
      <c r="R339" s="2" t="inlineStr"/>
    </row>
    <row r="340" ht="15" customHeight="1">
      <c r="A340" t="inlineStr">
        <is>
          <t>A 3315-2023</t>
        </is>
      </c>
      <c r="B340" s="1" t="n">
        <v>44945</v>
      </c>
      <c r="C340" s="1" t="n">
        <v>45888</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19442-2023</t>
        </is>
      </c>
      <c r="B341" s="1" t="n">
        <v>45050</v>
      </c>
      <c r="C341" s="1" t="n">
        <v>45888</v>
      </c>
      <c r="D341" t="inlineStr">
        <is>
          <t>SÖDERMANLANDS LÄN</t>
        </is>
      </c>
      <c r="E341" t="inlineStr">
        <is>
          <t>KATRINEHOLM</t>
        </is>
      </c>
      <c r="F341" t="inlineStr">
        <is>
          <t>Holmen skog AB</t>
        </is>
      </c>
      <c r="G341" t="n">
        <v>0.7</v>
      </c>
      <c r="H341" t="n">
        <v>0</v>
      </c>
      <c r="I341" t="n">
        <v>0</v>
      </c>
      <c r="J341" t="n">
        <v>0</v>
      </c>
      <c r="K341" t="n">
        <v>0</v>
      </c>
      <c r="L341" t="n">
        <v>0</v>
      </c>
      <c r="M341" t="n">
        <v>0</v>
      </c>
      <c r="N341" t="n">
        <v>0</v>
      </c>
      <c r="O341" t="n">
        <v>0</v>
      </c>
      <c r="P341" t="n">
        <v>0</v>
      </c>
      <c r="Q341" t="n">
        <v>0</v>
      </c>
      <c r="R341" s="2" t="inlineStr"/>
    </row>
    <row r="342" ht="15" customHeight="1">
      <c r="A342" t="inlineStr">
        <is>
          <t>A 59093-2024</t>
        </is>
      </c>
      <c r="B342" s="1" t="n">
        <v>45636</v>
      </c>
      <c r="C342" s="1" t="n">
        <v>45888</v>
      </c>
      <c r="D342" t="inlineStr">
        <is>
          <t>SÖDERMANLANDS LÄN</t>
        </is>
      </c>
      <c r="E342" t="inlineStr">
        <is>
          <t>KATRINEHOLM</t>
        </is>
      </c>
      <c r="G342" t="n">
        <v>2.8</v>
      </c>
      <c r="H342" t="n">
        <v>0</v>
      </c>
      <c r="I342" t="n">
        <v>0</v>
      </c>
      <c r="J342" t="n">
        <v>0</v>
      </c>
      <c r="K342" t="n">
        <v>0</v>
      </c>
      <c r="L342" t="n">
        <v>0</v>
      </c>
      <c r="M342" t="n">
        <v>0</v>
      </c>
      <c r="N342" t="n">
        <v>0</v>
      </c>
      <c r="O342" t="n">
        <v>0</v>
      </c>
      <c r="P342" t="n">
        <v>0</v>
      </c>
      <c r="Q342" t="n">
        <v>0</v>
      </c>
      <c r="R342" s="2" t="inlineStr"/>
    </row>
    <row r="343" ht="15" customHeight="1">
      <c r="A343" t="inlineStr">
        <is>
          <t>A 2093-2025</t>
        </is>
      </c>
      <c r="B343" s="1" t="n">
        <v>45672</v>
      </c>
      <c r="C343" s="1" t="n">
        <v>45888</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29702-2021</t>
        </is>
      </c>
      <c r="B344" s="1" t="n">
        <v>44362</v>
      </c>
      <c r="C344" s="1" t="n">
        <v>45888</v>
      </c>
      <c r="D344" t="inlineStr">
        <is>
          <t>SÖDERMANLANDS LÄN</t>
        </is>
      </c>
      <c r="E344" t="inlineStr">
        <is>
          <t>KATRINEHOLM</t>
        </is>
      </c>
      <c r="F344" t="inlineStr">
        <is>
          <t>Holmen skog AB</t>
        </is>
      </c>
      <c r="G344" t="n">
        <v>0.3</v>
      </c>
      <c r="H344" t="n">
        <v>0</v>
      </c>
      <c r="I344" t="n">
        <v>0</v>
      </c>
      <c r="J344" t="n">
        <v>0</v>
      </c>
      <c r="K344" t="n">
        <v>0</v>
      </c>
      <c r="L344" t="n">
        <v>0</v>
      </c>
      <c r="M344" t="n">
        <v>0</v>
      </c>
      <c r="N344" t="n">
        <v>0</v>
      </c>
      <c r="O344" t="n">
        <v>0</v>
      </c>
      <c r="P344" t="n">
        <v>0</v>
      </c>
      <c r="Q344" t="n">
        <v>0</v>
      </c>
      <c r="R344" s="2" t="inlineStr"/>
    </row>
    <row r="345" ht="15" customHeight="1">
      <c r="A345" t="inlineStr">
        <is>
          <t>A 64657-2020</t>
        </is>
      </c>
      <c r="B345" s="1" t="n">
        <v>44169</v>
      </c>
      <c r="C345" s="1" t="n">
        <v>45888</v>
      </c>
      <c r="D345" t="inlineStr">
        <is>
          <t>SÖDERMANLANDS LÄN</t>
        </is>
      </c>
      <c r="E345" t="inlineStr">
        <is>
          <t>KATRINEHOLM</t>
        </is>
      </c>
      <c r="F345" t="inlineStr">
        <is>
          <t>Kyrkan</t>
        </is>
      </c>
      <c r="G345" t="n">
        <v>7.6</v>
      </c>
      <c r="H345" t="n">
        <v>0</v>
      </c>
      <c r="I345" t="n">
        <v>0</v>
      </c>
      <c r="J345" t="n">
        <v>0</v>
      </c>
      <c r="K345" t="n">
        <v>0</v>
      </c>
      <c r="L345" t="n">
        <v>0</v>
      </c>
      <c r="M345" t="n">
        <v>0</v>
      </c>
      <c r="N345" t="n">
        <v>0</v>
      </c>
      <c r="O345" t="n">
        <v>0</v>
      </c>
      <c r="P345" t="n">
        <v>0</v>
      </c>
      <c r="Q345" t="n">
        <v>0</v>
      </c>
      <c r="R345" s="2" t="inlineStr"/>
    </row>
    <row r="346" ht="15" customHeight="1">
      <c r="A346" t="inlineStr">
        <is>
          <t>A 4662-2023</t>
        </is>
      </c>
      <c r="B346" s="1" t="n">
        <v>44957</v>
      </c>
      <c r="C346" s="1" t="n">
        <v>45888</v>
      </c>
      <c r="D346" t="inlineStr">
        <is>
          <t>SÖDERMANLANDS LÄN</t>
        </is>
      </c>
      <c r="E346" t="inlineStr">
        <is>
          <t>KATRINEHOLM</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2606-2025</t>
        </is>
      </c>
      <c r="B347" s="1" t="n">
        <v>45674</v>
      </c>
      <c r="C347" s="1" t="n">
        <v>45888</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22304-2024</t>
        </is>
      </c>
      <c r="B348" s="1" t="n">
        <v>45446.56626157407</v>
      </c>
      <c r="C348" s="1" t="n">
        <v>45888</v>
      </c>
      <c r="D348" t="inlineStr">
        <is>
          <t>SÖDERMANLANDS LÄN</t>
        </is>
      </c>
      <c r="E348" t="inlineStr">
        <is>
          <t>KATRINEHOLM</t>
        </is>
      </c>
      <c r="F348" t="inlineStr">
        <is>
          <t>Kommuner</t>
        </is>
      </c>
      <c r="G348" t="n">
        <v>0.7</v>
      </c>
      <c r="H348" t="n">
        <v>0</v>
      </c>
      <c r="I348" t="n">
        <v>0</v>
      </c>
      <c r="J348" t="n">
        <v>0</v>
      </c>
      <c r="K348" t="n">
        <v>0</v>
      </c>
      <c r="L348" t="n">
        <v>0</v>
      </c>
      <c r="M348" t="n">
        <v>0</v>
      </c>
      <c r="N348" t="n">
        <v>0</v>
      </c>
      <c r="O348" t="n">
        <v>0</v>
      </c>
      <c r="P348" t="n">
        <v>0</v>
      </c>
      <c r="Q348" t="n">
        <v>0</v>
      </c>
      <c r="R348" s="2" t="inlineStr"/>
    </row>
    <row r="349" ht="15" customHeight="1">
      <c r="A349" t="inlineStr">
        <is>
          <t>A 48763-2024</t>
        </is>
      </c>
      <c r="B349" s="1" t="n">
        <v>45593.60288194445</v>
      </c>
      <c r="C349" s="1" t="n">
        <v>45888</v>
      </c>
      <c r="D349" t="inlineStr">
        <is>
          <t>SÖDERMANLANDS LÄN</t>
        </is>
      </c>
      <c r="E349" t="inlineStr">
        <is>
          <t>KATRINEHOLM</t>
        </is>
      </c>
      <c r="G349" t="n">
        <v>1.3</v>
      </c>
      <c r="H349" t="n">
        <v>0</v>
      </c>
      <c r="I349" t="n">
        <v>0</v>
      </c>
      <c r="J349" t="n">
        <v>0</v>
      </c>
      <c r="K349" t="n">
        <v>0</v>
      </c>
      <c r="L349" t="n">
        <v>0</v>
      </c>
      <c r="M349" t="n">
        <v>0</v>
      </c>
      <c r="N349" t="n">
        <v>0</v>
      </c>
      <c r="O349" t="n">
        <v>0</v>
      </c>
      <c r="P349" t="n">
        <v>0</v>
      </c>
      <c r="Q349" t="n">
        <v>0</v>
      </c>
      <c r="R349" s="2" t="inlineStr"/>
    </row>
    <row r="350" ht="15" customHeight="1">
      <c r="A350" t="inlineStr">
        <is>
          <t>A 13171-2024</t>
        </is>
      </c>
      <c r="B350" s="1" t="n">
        <v>45386</v>
      </c>
      <c r="C350" s="1" t="n">
        <v>45888</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33752-2023</t>
        </is>
      </c>
      <c r="B351" s="1" t="n">
        <v>45120</v>
      </c>
      <c r="C351" s="1" t="n">
        <v>45888</v>
      </c>
      <c r="D351" t="inlineStr">
        <is>
          <t>SÖDERMANLANDS LÄN</t>
        </is>
      </c>
      <c r="E351" t="inlineStr">
        <is>
          <t>KATRINEHOLM</t>
        </is>
      </c>
      <c r="G351" t="n">
        <v>1</v>
      </c>
      <c r="H351" t="n">
        <v>0</v>
      </c>
      <c r="I351" t="n">
        <v>0</v>
      </c>
      <c r="J351" t="n">
        <v>0</v>
      </c>
      <c r="K351" t="n">
        <v>0</v>
      </c>
      <c r="L351" t="n">
        <v>0</v>
      </c>
      <c r="M351" t="n">
        <v>0</v>
      </c>
      <c r="N351" t="n">
        <v>0</v>
      </c>
      <c r="O351" t="n">
        <v>0</v>
      </c>
      <c r="P351" t="n">
        <v>0</v>
      </c>
      <c r="Q351" t="n">
        <v>0</v>
      </c>
      <c r="R351" s="2" t="inlineStr"/>
    </row>
    <row r="352" ht="15" customHeight="1">
      <c r="A352" t="inlineStr">
        <is>
          <t>A 38872-2024</t>
        </is>
      </c>
      <c r="B352" s="1" t="n">
        <v>45547</v>
      </c>
      <c r="C352" s="1" t="n">
        <v>45888</v>
      </c>
      <c r="D352" t="inlineStr">
        <is>
          <t>SÖDERMANLANDS LÄN</t>
        </is>
      </c>
      <c r="E352" t="inlineStr">
        <is>
          <t>KATRINEHOLM</t>
        </is>
      </c>
      <c r="G352" t="n">
        <v>5.7</v>
      </c>
      <c r="H352" t="n">
        <v>0</v>
      </c>
      <c r="I352" t="n">
        <v>0</v>
      </c>
      <c r="J352" t="n">
        <v>0</v>
      </c>
      <c r="K352" t="n">
        <v>0</v>
      </c>
      <c r="L352" t="n">
        <v>0</v>
      </c>
      <c r="M352" t="n">
        <v>0</v>
      </c>
      <c r="N352" t="n">
        <v>0</v>
      </c>
      <c r="O352" t="n">
        <v>0</v>
      </c>
      <c r="P352" t="n">
        <v>0</v>
      </c>
      <c r="Q352" t="n">
        <v>0</v>
      </c>
      <c r="R352" s="2" t="inlineStr"/>
    </row>
    <row r="353" ht="15" customHeight="1">
      <c r="A353" t="inlineStr">
        <is>
          <t>A 28652-2024</t>
        </is>
      </c>
      <c r="B353" s="1" t="n">
        <v>45478</v>
      </c>
      <c r="C353" s="1" t="n">
        <v>45888</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41229-2022</t>
        </is>
      </c>
      <c r="B354" s="1" t="n">
        <v>44825</v>
      </c>
      <c r="C354" s="1" t="n">
        <v>45888</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9936-2023</t>
        </is>
      </c>
      <c r="B355" s="1" t="n">
        <v>44985.47086805556</v>
      </c>
      <c r="C355" s="1" t="n">
        <v>45888</v>
      </c>
      <c r="D355" t="inlineStr">
        <is>
          <t>SÖDERMANLANDS LÄN</t>
        </is>
      </c>
      <c r="E355" t="inlineStr">
        <is>
          <t>KATRINEHOLM</t>
        </is>
      </c>
      <c r="G355" t="n">
        <v>0.4</v>
      </c>
      <c r="H355" t="n">
        <v>0</v>
      </c>
      <c r="I355" t="n">
        <v>0</v>
      </c>
      <c r="J355" t="n">
        <v>0</v>
      </c>
      <c r="K355" t="n">
        <v>0</v>
      </c>
      <c r="L355" t="n">
        <v>0</v>
      </c>
      <c r="M355" t="n">
        <v>0</v>
      </c>
      <c r="N355" t="n">
        <v>0</v>
      </c>
      <c r="O355" t="n">
        <v>0</v>
      </c>
      <c r="P355" t="n">
        <v>0</v>
      </c>
      <c r="Q355" t="n">
        <v>0</v>
      </c>
      <c r="R355" s="2" t="inlineStr"/>
    </row>
    <row r="356" ht="15" customHeight="1">
      <c r="A356" t="inlineStr">
        <is>
          <t>A 12227-2025</t>
        </is>
      </c>
      <c r="B356" s="1" t="n">
        <v>45729.56836805555</v>
      </c>
      <c r="C356" s="1" t="n">
        <v>45888</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20826-2022</t>
        </is>
      </c>
      <c r="B357" s="1" t="n">
        <v>44701.44754629629</v>
      </c>
      <c r="C357" s="1" t="n">
        <v>45888</v>
      </c>
      <c r="D357" t="inlineStr">
        <is>
          <t>SÖDERMANLANDS LÄN</t>
        </is>
      </c>
      <c r="E357" t="inlineStr">
        <is>
          <t>KATRINEHOLM</t>
        </is>
      </c>
      <c r="G357" t="n">
        <v>6.8</v>
      </c>
      <c r="H357" t="n">
        <v>0</v>
      </c>
      <c r="I357" t="n">
        <v>0</v>
      </c>
      <c r="J357" t="n">
        <v>0</v>
      </c>
      <c r="K357" t="n">
        <v>0</v>
      </c>
      <c r="L357" t="n">
        <v>0</v>
      </c>
      <c r="M357" t="n">
        <v>0</v>
      </c>
      <c r="N357" t="n">
        <v>0</v>
      </c>
      <c r="O357" t="n">
        <v>0</v>
      </c>
      <c r="P357" t="n">
        <v>0</v>
      </c>
      <c r="Q357" t="n">
        <v>0</v>
      </c>
      <c r="R357" s="2" t="inlineStr"/>
    </row>
    <row r="358" ht="15" customHeight="1">
      <c r="A358" t="inlineStr">
        <is>
          <t>A 20846-2022</t>
        </is>
      </c>
      <c r="B358" s="1" t="n">
        <v>44701.4744212963</v>
      </c>
      <c r="C358" s="1" t="n">
        <v>45888</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42641-2020</t>
        </is>
      </c>
      <c r="B359" s="1" t="n">
        <v>44075</v>
      </c>
      <c r="C359" s="1" t="n">
        <v>45888</v>
      </c>
      <c r="D359" t="inlineStr">
        <is>
          <t>SÖDERMANLANDS LÄN</t>
        </is>
      </c>
      <c r="E359" t="inlineStr">
        <is>
          <t>KATRINEHOLM</t>
        </is>
      </c>
      <c r="G359" t="n">
        <v>2.8</v>
      </c>
      <c r="H359" t="n">
        <v>0</v>
      </c>
      <c r="I359" t="n">
        <v>0</v>
      </c>
      <c r="J359" t="n">
        <v>0</v>
      </c>
      <c r="K359" t="n">
        <v>0</v>
      </c>
      <c r="L359" t="n">
        <v>0</v>
      </c>
      <c r="M359" t="n">
        <v>0</v>
      </c>
      <c r="N359" t="n">
        <v>0</v>
      </c>
      <c r="O359" t="n">
        <v>0</v>
      </c>
      <c r="P359" t="n">
        <v>0</v>
      </c>
      <c r="Q359" t="n">
        <v>0</v>
      </c>
      <c r="R359" s="2" t="inlineStr"/>
    </row>
    <row r="360" ht="15" customHeight="1">
      <c r="A360" t="inlineStr">
        <is>
          <t>A 17246-2024</t>
        </is>
      </c>
      <c r="B360" s="1" t="n">
        <v>45414</v>
      </c>
      <c r="C360" s="1" t="n">
        <v>45888</v>
      </c>
      <c r="D360" t="inlineStr">
        <is>
          <t>SÖDERMANLANDS LÄN</t>
        </is>
      </c>
      <c r="E360" t="inlineStr">
        <is>
          <t>KATRINEHOLM</t>
        </is>
      </c>
      <c r="F360" t="inlineStr">
        <is>
          <t>Allmännings- och besparingsskogar</t>
        </is>
      </c>
      <c r="G360" t="n">
        <v>13.7</v>
      </c>
      <c r="H360" t="n">
        <v>0</v>
      </c>
      <c r="I360" t="n">
        <v>0</v>
      </c>
      <c r="J360" t="n">
        <v>0</v>
      </c>
      <c r="K360" t="n">
        <v>0</v>
      </c>
      <c r="L360" t="n">
        <v>0</v>
      </c>
      <c r="M360" t="n">
        <v>0</v>
      </c>
      <c r="N360" t="n">
        <v>0</v>
      </c>
      <c r="O360" t="n">
        <v>0</v>
      </c>
      <c r="P360" t="n">
        <v>0</v>
      </c>
      <c r="Q360" t="n">
        <v>0</v>
      </c>
      <c r="R360" s="2" t="inlineStr"/>
    </row>
    <row r="361" ht="15" customHeight="1">
      <c r="A361" t="inlineStr">
        <is>
          <t>A 1091-2025</t>
        </is>
      </c>
      <c r="B361" s="1" t="n">
        <v>45666</v>
      </c>
      <c r="C361" s="1" t="n">
        <v>45888</v>
      </c>
      <c r="D361" t="inlineStr">
        <is>
          <t>SÖDERMANLANDS LÄN</t>
        </is>
      </c>
      <c r="E361" t="inlineStr">
        <is>
          <t>KATRINEHOLM</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9192-2023</t>
        </is>
      </c>
      <c r="B362" s="1" t="n">
        <v>44980</v>
      </c>
      <c r="C362" s="1" t="n">
        <v>45888</v>
      </c>
      <c r="D362" t="inlineStr">
        <is>
          <t>SÖDERMANLANDS LÄN</t>
        </is>
      </c>
      <c r="E362" t="inlineStr">
        <is>
          <t>KATRINEHOLM</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57462-2020</t>
        </is>
      </c>
      <c r="B363" s="1" t="n">
        <v>44140</v>
      </c>
      <c r="C363" s="1" t="n">
        <v>45888</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72984-2021</t>
        </is>
      </c>
      <c r="B364" s="1" t="n">
        <v>44549.74741898148</v>
      </c>
      <c r="C364" s="1" t="n">
        <v>45888</v>
      </c>
      <c r="D364" t="inlineStr">
        <is>
          <t>SÖDERMANLANDS LÄN</t>
        </is>
      </c>
      <c r="E364" t="inlineStr">
        <is>
          <t>KATRINEHOLM</t>
        </is>
      </c>
      <c r="G364" t="n">
        <v>4.9</v>
      </c>
      <c r="H364" t="n">
        <v>0</v>
      </c>
      <c r="I364" t="n">
        <v>0</v>
      </c>
      <c r="J364" t="n">
        <v>0</v>
      </c>
      <c r="K364" t="n">
        <v>0</v>
      </c>
      <c r="L364" t="n">
        <v>0</v>
      </c>
      <c r="M364" t="n">
        <v>0</v>
      </c>
      <c r="N364" t="n">
        <v>0</v>
      </c>
      <c r="O364" t="n">
        <v>0</v>
      </c>
      <c r="P364" t="n">
        <v>0</v>
      </c>
      <c r="Q364" t="n">
        <v>0</v>
      </c>
      <c r="R364" s="2" t="inlineStr"/>
    </row>
    <row r="365" ht="15" customHeight="1">
      <c r="A365" t="inlineStr">
        <is>
          <t>A 33712-2022</t>
        </is>
      </c>
      <c r="B365" s="1" t="n">
        <v>44789</v>
      </c>
      <c r="C365" s="1" t="n">
        <v>45888</v>
      </c>
      <c r="D365" t="inlineStr">
        <is>
          <t>SÖDERMANLANDS LÄN</t>
        </is>
      </c>
      <c r="E365" t="inlineStr">
        <is>
          <t>KATRINEHOLM</t>
        </is>
      </c>
      <c r="G365" t="n">
        <v>4.3</v>
      </c>
      <c r="H365" t="n">
        <v>0</v>
      </c>
      <c r="I365" t="n">
        <v>0</v>
      </c>
      <c r="J365" t="n">
        <v>0</v>
      </c>
      <c r="K365" t="n">
        <v>0</v>
      </c>
      <c r="L365" t="n">
        <v>0</v>
      </c>
      <c r="M365" t="n">
        <v>0</v>
      </c>
      <c r="N365" t="n">
        <v>0</v>
      </c>
      <c r="O365" t="n">
        <v>0</v>
      </c>
      <c r="P365" t="n">
        <v>0</v>
      </c>
      <c r="Q365" t="n">
        <v>0</v>
      </c>
      <c r="R365" s="2" t="inlineStr"/>
    </row>
    <row r="366" ht="15" customHeight="1">
      <c r="A366" t="inlineStr">
        <is>
          <t>A 33717-2022</t>
        </is>
      </c>
      <c r="B366" s="1" t="n">
        <v>44789</v>
      </c>
      <c r="C366" s="1" t="n">
        <v>45888</v>
      </c>
      <c r="D366" t="inlineStr">
        <is>
          <t>SÖDERMANLANDS LÄN</t>
        </is>
      </c>
      <c r="E366" t="inlineStr">
        <is>
          <t>KATRINEHOLM</t>
        </is>
      </c>
      <c r="G366" t="n">
        <v>4.4</v>
      </c>
      <c r="H366" t="n">
        <v>0</v>
      </c>
      <c r="I366" t="n">
        <v>0</v>
      </c>
      <c r="J366" t="n">
        <v>0</v>
      </c>
      <c r="K366" t="n">
        <v>0</v>
      </c>
      <c r="L366" t="n">
        <v>0</v>
      </c>
      <c r="M366" t="n">
        <v>0</v>
      </c>
      <c r="N366" t="n">
        <v>0</v>
      </c>
      <c r="O366" t="n">
        <v>0</v>
      </c>
      <c r="P366" t="n">
        <v>0</v>
      </c>
      <c r="Q366" t="n">
        <v>0</v>
      </c>
      <c r="R366" s="2" t="inlineStr"/>
    </row>
    <row r="367" ht="15" customHeight="1">
      <c r="A367" t="inlineStr">
        <is>
          <t>A 51440-2024</t>
        </is>
      </c>
      <c r="B367" s="1" t="n">
        <v>45604</v>
      </c>
      <c r="C367" s="1" t="n">
        <v>45888</v>
      </c>
      <c r="D367" t="inlineStr">
        <is>
          <t>SÖDERMANLANDS LÄN</t>
        </is>
      </c>
      <c r="E367" t="inlineStr">
        <is>
          <t>KATRINEHOLM</t>
        </is>
      </c>
      <c r="G367" t="n">
        <v>4.7</v>
      </c>
      <c r="H367" t="n">
        <v>0</v>
      </c>
      <c r="I367" t="n">
        <v>0</v>
      </c>
      <c r="J367" t="n">
        <v>0</v>
      </c>
      <c r="K367" t="n">
        <v>0</v>
      </c>
      <c r="L367" t="n">
        <v>0</v>
      </c>
      <c r="M367" t="n">
        <v>0</v>
      </c>
      <c r="N367" t="n">
        <v>0</v>
      </c>
      <c r="O367" t="n">
        <v>0</v>
      </c>
      <c r="P367" t="n">
        <v>0</v>
      </c>
      <c r="Q367" t="n">
        <v>0</v>
      </c>
      <c r="R367" s="2" t="inlineStr"/>
    </row>
    <row r="368" ht="15" customHeight="1">
      <c r="A368" t="inlineStr">
        <is>
          <t>A 39010-2021</t>
        </is>
      </c>
      <c r="B368" s="1" t="n">
        <v>44412</v>
      </c>
      <c r="C368" s="1" t="n">
        <v>45888</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12930-2023</t>
        </is>
      </c>
      <c r="B369" s="1" t="n">
        <v>45001</v>
      </c>
      <c r="C369" s="1" t="n">
        <v>45888</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38308-2021</t>
        </is>
      </c>
      <c r="B370" s="1" t="n">
        <v>44406</v>
      </c>
      <c r="C370" s="1" t="n">
        <v>45888</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23031-2024</t>
        </is>
      </c>
      <c r="B371" s="1" t="n">
        <v>45450.38120370371</v>
      </c>
      <c r="C371" s="1" t="n">
        <v>45888</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6311-2025</t>
        </is>
      </c>
      <c r="B372" s="1" t="n">
        <v>45698</v>
      </c>
      <c r="C372" s="1" t="n">
        <v>45888</v>
      </c>
      <c r="D372" t="inlineStr">
        <is>
          <t>SÖDERMANLANDS LÄN</t>
        </is>
      </c>
      <c r="E372" t="inlineStr">
        <is>
          <t>KATRINEHOLM</t>
        </is>
      </c>
      <c r="G372" t="n">
        <v>0.3</v>
      </c>
      <c r="H372" t="n">
        <v>0</v>
      </c>
      <c r="I372" t="n">
        <v>0</v>
      </c>
      <c r="J372" t="n">
        <v>0</v>
      </c>
      <c r="K372" t="n">
        <v>0</v>
      </c>
      <c r="L372" t="n">
        <v>0</v>
      </c>
      <c r="M372" t="n">
        <v>0</v>
      </c>
      <c r="N372" t="n">
        <v>0</v>
      </c>
      <c r="O372" t="n">
        <v>0</v>
      </c>
      <c r="P372" t="n">
        <v>0</v>
      </c>
      <c r="Q372" t="n">
        <v>0</v>
      </c>
      <c r="R372" s="2" t="inlineStr"/>
    </row>
    <row r="373" ht="15" customHeight="1">
      <c r="A373" t="inlineStr">
        <is>
          <t>A 15284-2023</t>
        </is>
      </c>
      <c r="B373" s="1" t="n">
        <v>45019</v>
      </c>
      <c r="C373" s="1" t="n">
        <v>45888</v>
      </c>
      <c r="D373" t="inlineStr">
        <is>
          <t>SÖDERMANLANDS LÄN</t>
        </is>
      </c>
      <c r="E373" t="inlineStr">
        <is>
          <t>KATRINEHOLM</t>
        </is>
      </c>
      <c r="F373" t="inlineStr">
        <is>
          <t>Allmännings- och besparingsskogar</t>
        </is>
      </c>
      <c r="G373" t="n">
        <v>17.4</v>
      </c>
      <c r="H373" t="n">
        <v>0</v>
      </c>
      <c r="I373" t="n">
        <v>0</v>
      </c>
      <c r="J373" t="n">
        <v>0</v>
      </c>
      <c r="K373" t="n">
        <v>0</v>
      </c>
      <c r="L373" t="n">
        <v>0</v>
      </c>
      <c r="M373" t="n">
        <v>0</v>
      </c>
      <c r="N373" t="n">
        <v>0</v>
      </c>
      <c r="O373" t="n">
        <v>0</v>
      </c>
      <c r="P373" t="n">
        <v>0</v>
      </c>
      <c r="Q373" t="n">
        <v>0</v>
      </c>
      <c r="R373" s="2" t="inlineStr"/>
    </row>
    <row r="374" ht="15" customHeight="1">
      <c r="A374" t="inlineStr">
        <is>
          <t>A 2298-2021</t>
        </is>
      </c>
      <c r="B374" s="1" t="n">
        <v>44212</v>
      </c>
      <c r="C374" s="1" t="n">
        <v>45888</v>
      </c>
      <c r="D374" t="inlineStr">
        <is>
          <t>SÖDERMANLANDS LÄN</t>
        </is>
      </c>
      <c r="E374" t="inlineStr">
        <is>
          <t>KATRINEHOLM</t>
        </is>
      </c>
      <c r="G374" t="n">
        <v>3.4</v>
      </c>
      <c r="H374" t="n">
        <v>0</v>
      </c>
      <c r="I374" t="n">
        <v>0</v>
      </c>
      <c r="J374" t="n">
        <v>0</v>
      </c>
      <c r="K374" t="n">
        <v>0</v>
      </c>
      <c r="L374" t="n">
        <v>0</v>
      </c>
      <c r="M374" t="n">
        <v>0</v>
      </c>
      <c r="N374" t="n">
        <v>0</v>
      </c>
      <c r="O374" t="n">
        <v>0</v>
      </c>
      <c r="P374" t="n">
        <v>0</v>
      </c>
      <c r="Q374" t="n">
        <v>0</v>
      </c>
      <c r="R374" s="2" t="inlineStr"/>
    </row>
    <row r="375" ht="15" customHeight="1">
      <c r="A375" t="inlineStr">
        <is>
          <t>A 55856-2022</t>
        </is>
      </c>
      <c r="B375" s="1" t="n">
        <v>44888</v>
      </c>
      <c r="C375" s="1" t="n">
        <v>45888</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37542-2022</t>
        </is>
      </c>
      <c r="B376" s="1" t="n">
        <v>44809</v>
      </c>
      <c r="C376" s="1" t="n">
        <v>45888</v>
      </c>
      <c r="D376" t="inlineStr">
        <is>
          <t>SÖDERMANLANDS LÄN</t>
        </is>
      </c>
      <c r="E376" t="inlineStr">
        <is>
          <t>KATRINEHOLM</t>
        </is>
      </c>
      <c r="G376" t="n">
        <v>1.3</v>
      </c>
      <c r="H376" t="n">
        <v>0</v>
      </c>
      <c r="I376" t="n">
        <v>0</v>
      </c>
      <c r="J376" t="n">
        <v>0</v>
      </c>
      <c r="K376" t="n">
        <v>0</v>
      </c>
      <c r="L376" t="n">
        <v>0</v>
      </c>
      <c r="M376" t="n">
        <v>0</v>
      </c>
      <c r="N376" t="n">
        <v>0</v>
      </c>
      <c r="O376" t="n">
        <v>0</v>
      </c>
      <c r="P376" t="n">
        <v>0</v>
      </c>
      <c r="Q376" t="n">
        <v>0</v>
      </c>
      <c r="R376" s="2" t="inlineStr"/>
    </row>
    <row r="377" ht="15" customHeight="1">
      <c r="A377" t="inlineStr">
        <is>
          <t>A 51260-2021</t>
        </is>
      </c>
      <c r="B377" s="1" t="n">
        <v>44461</v>
      </c>
      <c r="C377" s="1" t="n">
        <v>45888</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34739-2023</t>
        </is>
      </c>
      <c r="B378" s="1" t="n">
        <v>45141</v>
      </c>
      <c r="C378" s="1" t="n">
        <v>45888</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38879-2024</t>
        </is>
      </c>
      <c r="B379" s="1" t="n">
        <v>45547</v>
      </c>
      <c r="C379" s="1" t="n">
        <v>45888</v>
      </c>
      <c r="D379" t="inlineStr">
        <is>
          <t>SÖDERMANLANDS LÄN</t>
        </is>
      </c>
      <c r="E379" t="inlineStr">
        <is>
          <t>KATRINEHOLM</t>
        </is>
      </c>
      <c r="G379" t="n">
        <v>2.6</v>
      </c>
      <c r="H379" t="n">
        <v>0</v>
      </c>
      <c r="I379" t="n">
        <v>0</v>
      </c>
      <c r="J379" t="n">
        <v>0</v>
      </c>
      <c r="K379" t="n">
        <v>0</v>
      </c>
      <c r="L379" t="n">
        <v>0</v>
      </c>
      <c r="M379" t="n">
        <v>0</v>
      </c>
      <c r="N379" t="n">
        <v>0</v>
      </c>
      <c r="O379" t="n">
        <v>0</v>
      </c>
      <c r="P379" t="n">
        <v>0</v>
      </c>
      <c r="Q379" t="n">
        <v>0</v>
      </c>
      <c r="R379" s="2" t="inlineStr"/>
    </row>
    <row r="380" ht="15" customHeight="1">
      <c r="A380" t="inlineStr">
        <is>
          <t>A 42945-2023</t>
        </is>
      </c>
      <c r="B380" s="1" t="n">
        <v>45182.5793287037</v>
      </c>
      <c r="C380" s="1" t="n">
        <v>45888</v>
      </c>
      <c r="D380" t="inlineStr">
        <is>
          <t>SÖDERMANLANDS LÄN</t>
        </is>
      </c>
      <c r="E380" t="inlineStr">
        <is>
          <t>KATRINEHOLM</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42962-2023</t>
        </is>
      </c>
      <c r="B381" s="1" t="n">
        <v>45182</v>
      </c>
      <c r="C381" s="1" t="n">
        <v>45888</v>
      </c>
      <c r="D381" t="inlineStr">
        <is>
          <t>SÖDERMANLANDS LÄN</t>
        </is>
      </c>
      <c r="E381" t="inlineStr">
        <is>
          <t>KATRINEHOLM</t>
        </is>
      </c>
      <c r="F381" t="inlineStr">
        <is>
          <t>Övriga Aktiebolag</t>
        </is>
      </c>
      <c r="G381" t="n">
        <v>10.6</v>
      </c>
      <c r="H381" t="n">
        <v>0</v>
      </c>
      <c r="I381" t="n">
        <v>0</v>
      </c>
      <c r="J381" t="n">
        <v>0</v>
      </c>
      <c r="K381" t="n">
        <v>0</v>
      </c>
      <c r="L381" t="n">
        <v>0</v>
      </c>
      <c r="M381" t="n">
        <v>0</v>
      </c>
      <c r="N381" t="n">
        <v>0</v>
      </c>
      <c r="O381" t="n">
        <v>0</v>
      </c>
      <c r="P381" t="n">
        <v>0</v>
      </c>
      <c r="Q381" t="n">
        <v>0</v>
      </c>
      <c r="R381" s="2" t="inlineStr"/>
    </row>
    <row r="382" ht="15" customHeight="1">
      <c r="A382" t="inlineStr">
        <is>
          <t>A 33538-2022</t>
        </is>
      </c>
      <c r="B382" s="1" t="n">
        <v>44789</v>
      </c>
      <c r="C382" s="1" t="n">
        <v>45888</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36366-2023</t>
        </is>
      </c>
      <c r="B383" s="1" t="n">
        <v>45152</v>
      </c>
      <c r="C383" s="1" t="n">
        <v>45888</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22113-2025</t>
        </is>
      </c>
      <c r="B384" s="1" t="n">
        <v>45785</v>
      </c>
      <c r="C384" s="1" t="n">
        <v>45888</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16605-2025</t>
        </is>
      </c>
      <c r="B385" s="1" t="n">
        <v>45753.61614583333</v>
      </c>
      <c r="C385" s="1" t="n">
        <v>45888</v>
      </c>
      <c r="D385" t="inlineStr">
        <is>
          <t>SÖDERMANLANDS LÄN</t>
        </is>
      </c>
      <c r="E385" t="inlineStr">
        <is>
          <t>KATRINEHOLM</t>
        </is>
      </c>
      <c r="G385" t="n">
        <v>5.2</v>
      </c>
      <c r="H385" t="n">
        <v>0</v>
      </c>
      <c r="I385" t="n">
        <v>0</v>
      </c>
      <c r="J385" t="n">
        <v>0</v>
      </c>
      <c r="K385" t="n">
        <v>0</v>
      </c>
      <c r="L385" t="n">
        <v>0</v>
      </c>
      <c r="M385" t="n">
        <v>0</v>
      </c>
      <c r="N385" t="n">
        <v>0</v>
      </c>
      <c r="O385" t="n">
        <v>0</v>
      </c>
      <c r="P385" t="n">
        <v>0</v>
      </c>
      <c r="Q385" t="n">
        <v>0</v>
      </c>
      <c r="R385" s="2" t="inlineStr"/>
    </row>
    <row r="386" ht="15" customHeight="1">
      <c r="A386" t="inlineStr">
        <is>
          <t>A 61867-2020</t>
        </is>
      </c>
      <c r="B386" s="1" t="n">
        <v>44159</v>
      </c>
      <c r="C386" s="1" t="n">
        <v>45888</v>
      </c>
      <c r="D386" t="inlineStr">
        <is>
          <t>SÖDERMANLANDS LÄN</t>
        </is>
      </c>
      <c r="E386" t="inlineStr">
        <is>
          <t>KATRINEHOLM</t>
        </is>
      </c>
      <c r="G386" t="n">
        <v>2.9</v>
      </c>
      <c r="H386" t="n">
        <v>0</v>
      </c>
      <c r="I386" t="n">
        <v>0</v>
      </c>
      <c r="J386" t="n">
        <v>0</v>
      </c>
      <c r="K386" t="n">
        <v>0</v>
      </c>
      <c r="L386" t="n">
        <v>0</v>
      </c>
      <c r="M386" t="n">
        <v>0</v>
      </c>
      <c r="N386" t="n">
        <v>0</v>
      </c>
      <c r="O386" t="n">
        <v>0</v>
      </c>
      <c r="P386" t="n">
        <v>0</v>
      </c>
      <c r="Q386" t="n">
        <v>0</v>
      </c>
      <c r="R386" s="2" t="inlineStr"/>
    </row>
    <row r="387" ht="15" customHeight="1">
      <c r="A387" t="inlineStr">
        <is>
          <t>A 22119-2025</t>
        </is>
      </c>
      <c r="B387" s="1" t="n">
        <v>45785</v>
      </c>
      <c r="C387" s="1" t="n">
        <v>45888</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73409-2021</t>
        </is>
      </c>
      <c r="B388" s="1" t="n">
        <v>44551</v>
      </c>
      <c r="C388" s="1" t="n">
        <v>45888</v>
      </c>
      <c r="D388" t="inlineStr">
        <is>
          <t>SÖDERMANLANDS LÄN</t>
        </is>
      </c>
      <c r="E388" t="inlineStr">
        <is>
          <t>KATRINEHOLM</t>
        </is>
      </c>
      <c r="G388" t="n">
        <v>1.7</v>
      </c>
      <c r="H388" t="n">
        <v>0</v>
      </c>
      <c r="I388" t="n">
        <v>0</v>
      </c>
      <c r="J388" t="n">
        <v>0</v>
      </c>
      <c r="K388" t="n">
        <v>0</v>
      </c>
      <c r="L388" t="n">
        <v>0</v>
      </c>
      <c r="M388" t="n">
        <v>0</v>
      </c>
      <c r="N388" t="n">
        <v>0</v>
      </c>
      <c r="O388" t="n">
        <v>0</v>
      </c>
      <c r="P388" t="n">
        <v>0</v>
      </c>
      <c r="Q388" t="n">
        <v>0</v>
      </c>
      <c r="R388" s="2" t="inlineStr"/>
    </row>
    <row r="389" ht="15" customHeight="1">
      <c r="A389" t="inlineStr">
        <is>
          <t>A 73415-2021</t>
        </is>
      </c>
      <c r="B389" s="1" t="n">
        <v>44551</v>
      </c>
      <c r="C389" s="1" t="n">
        <v>45888</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41205-2021</t>
        </is>
      </c>
      <c r="B390" s="1" t="n">
        <v>44424.38577546296</v>
      </c>
      <c r="C390" s="1" t="n">
        <v>45888</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55296-2022</t>
        </is>
      </c>
      <c r="B391" s="1" t="n">
        <v>44887</v>
      </c>
      <c r="C391" s="1" t="n">
        <v>45888</v>
      </c>
      <c r="D391" t="inlineStr">
        <is>
          <t>SÖDERMANLANDS LÄN</t>
        </is>
      </c>
      <c r="E391" t="inlineStr">
        <is>
          <t>KATRINEHOLM</t>
        </is>
      </c>
      <c r="G391" t="n">
        <v>1.4</v>
      </c>
      <c r="H391" t="n">
        <v>0</v>
      </c>
      <c r="I391" t="n">
        <v>0</v>
      </c>
      <c r="J391" t="n">
        <v>0</v>
      </c>
      <c r="K391" t="n">
        <v>0</v>
      </c>
      <c r="L391" t="n">
        <v>0</v>
      </c>
      <c r="M391" t="n">
        <v>0</v>
      </c>
      <c r="N391" t="n">
        <v>0</v>
      </c>
      <c r="O391" t="n">
        <v>0</v>
      </c>
      <c r="P391" t="n">
        <v>0</v>
      </c>
      <c r="Q391" t="n">
        <v>0</v>
      </c>
      <c r="R391" s="2" t="inlineStr"/>
    </row>
    <row r="392" ht="15" customHeight="1">
      <c r="A392" t="inlineStr">
        <is>
          <t>A 63188-2021</t>
        </is>
      </c>
      <c r="B392" s="1" t="n">
        <v>44507.56865740741</v>
      </c>
      <c r="C392" s="1" t="n">
        <v>45888</v>
      </c>
      <c r="D392" t="inlineStr">
        <is>
          <t>SÖDERMANLANDS LÄN</t>
        </is>
      </c>
      <c r="E392" t="inlineStr">
        <is>
          <t>KATRINEHOLM</t>
        </is>
      </c>
      <c r="G392" t="n">
        <v>1.6</v>
      </c>
      <c r="H392" t="n">
        <v>0</v>
      </c>
      <c r="I392" t="n">
        <v>0</v>
      </c>
      <c r="J392" t="n">
        <v>0</v>
      </c>
      <c r="K392" t="n">
        <v>0</v>
      </c>
      <c r="L392" t="n">
        <v>0</v>
      </c>
      <c r="M392" t="n">
        <v>0</v>
      </c>
      <c r="N392" t="n">
        <v>0</v>
      </c>
      <c r="O392" t="n">
        <v>0</v>
      </c>
      <c r="P392" t="n">
        <v>0</v>
      </c>
      <c r="Q392" t="n">
        <v>0</v>
      </c>
      <c r="R392" s="2" t="inlineStr"/>
    </row>
    <row r="393" ht="15" customHeight="1">
      <c r="A393" t="inlineStr">
        <is>
          <t>A 9932-2023</t>
        </is>
      </c>
      <c r="B393" s="1" t="n">
        <v>44985.46709490741</v>
      </c>
      <c r="C393" s="1" t="n">
        <v>45888</v>
      </c>
      <c r="D393" t="inlineStr">
        <is>
          <t>SÖDERMANLANDS LÄN</t>
        </is>
      </c>
      <c r="E393" t="inlineStr">
        <is>
          <t>KATRINEHOLM</t>
        </is>
      </c>
      <c r="G393" t="n">
        <v>0.3</v>
      </c>
      <c r="H393" t="n">
        <v>0</v>
      </c>
      <c r="I393" t="n">
        <v>0</v>
      </c>
      <c r="J393" t="n">
        <v>0</v>
      </c>
      <c r="K393" t="n">
        <v>0</v>
      </c>
      <c r="L393" t="n">
        <v>0</v>
      </c>
      <c r="M393" t="n">
        <v>0</v>
      </c>
      <c r="N393" t="n">
        <v>0</v>
      </c>
      <c r="O393" t="n">
        <v>0</v>
      </c>
      <c r="P393" t="n">
        <v>0</v>
      </c>
      <c r="Q393" t="n">
        <v>0</v>
      </c>
      <c r="R393" s="2" t="inlineStr"/>
    </row>
    <row r="394" ht="15" customHeight="1">
      <c r="A394" t="inlineStr">
        <is>
          <t>A 64713-2023</t>
        </is>
      </c>
      <c r="B394" s="1" t="n">
        <v>45281</v>
      </c>
      <c r="C394" s="1" t="n">
        <v>45888</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28304-2024</t>
        </is>
      </c>
      <c r="B395" s="1" t="n">
        <v>45477</v>
      </c>
      <c r="C395" s="1" t="n">
        <v>45888</v>
      </c>
      <c r="D395" t="inlineStr">
        <is>
          <t>SÖDERMANLANDS LÄN</t>
        </is>
      </c>
      <c r="E395" t="inlineStr">
        <is>
          <t>KATRINEHOLM</t>
        </is>
      </c>
      <c r="G395" t="n">
        <v>3.8</v>
      </c>
      <c r="H395" t="n">
        <v>0</v>
      </c>
      <c r="I395" t="n">
        <v>0</v>
      </c>
      <c r="J395" t="n">
        <v>0</v>
      </c>
      <c r="K395" t="n">
        <v>0</v>
      </c>
      <c r="L395" t="n">
        <v>0</v>
      </c>
      <c r="M395" t="n">
        <v>0</v>
      </c>
      <c r="N395" t="n">
        <v>0</v>
      </c>
      <c r="O395" t="n">
        <v>0</v>
      </c>
      <c r="P395" t="n">
        <v>0</v>
      </c>
      <c r="Q395" t="n">
        <v>0</v>
      </c>
      <c r="R395" s="2" t="inlineStr"/>
    </row>
    <row r="396" ht="15" customHeight="1">
      <c r="A396" t="inlineStr">
        <is>
          <t>A 42590-2022</t>
        </is>
      </c>
      <c r="B396" s="1" t="n">
        <v>44831</v>
      </c>
      <c r="C396" s="1" t="n">
        <v>45888</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8457-2023</t>
        </is>
      </c>
      <c r="B397" s="1" t="n">
        <v>44977</v>
      </c>
      <c r="C397" s="1" t="n">
        <v>45888</v>
      </c>
      <c r="D397" t="inlineStr">
        <is>
          <t>SÖDERMANLANDS LÄN</t>
        </is>
      </c>
      <c r="E397" t="inlineStr">
        <is>
          <t>KATRINEHOLM</t>
        </is>
      </c>
      <c r="F397" t="inlineStr">
        <is>
          <t>Allmännings- och besparingsskogar</t>
        </is>
      </c>
      <c r="G397" t="n">
        <v>16.1</v>
      </c>
      <c r="H397" t="n">
        <v>0</v>
      </c>
      <c r="I397" t="n">
        <v>0</v>
      </c>
      <c r="J397" t="n">
        <v>0</v>
      </c>
      <c r="K397" t="n">
        <v>0</v>
      </c>
      <c r="L397" t="n">
        <v>0</v>
      </c>
      <c r="M397" t="n">
        <v>0</v>
      </c>
      <c r="N397" t="n">
        <v>0</v>
      </c>
      <c r="O397" t="n">
        <v>0</v>
      </c>
      <c r="P397" t="n">
        <v>0</v>
      </c>
      <c r="Q397" t="n">
        <v>0</v>
      </c>
      <c r="R397" s="2" t="inlineStr"/>
    </row>
    <row r="398" ht="15" customHeight="1">
      <c r="A398" t="inlineStr">
        <is>
          <t>A 52134-2020</t>
        </is>
      </c>
      <c r="B398" s="1" t="n">
        <v>44110</v>
      </c>
      <c r="C398" s="1" t="n">
        <v>45888</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17360-2022</t>
        </is>
      </c>
      <c r="B399" s="1" t="n">
        <v>44678</v>
      </c>
      <c r="C399" s="1" t="n">
        <v>45888</v>
      </c>
      <c r="D399" t="inlineStr">
        <is>
          <t>SÖDERMANLANDS LÄN</t>
        </is>
      </c>
      <c r="E399" t="inlineStr">
        <is>
          <t>KATRINEHOLM</t>
        </is>
      </c>
      <c r="G399" t="n">
        <v>4.5</v>
      </c>
      <c r="H399" t="n">
        <v>0</v>
      </c>
      <c r="I399" t="n">
        <v>0</v>
      </c>
      <c r="J399" t="n">
        <v>0</v>
      </c>
      <c r="K399" t="n">
        <v>0</v>
      </c>
      <c r="L399" t="n">
        <v>0</v>
      </c>
      <c r="M399" t="n">
        <v>0</v>
      </c>
      <c r="N399" t="n">
        <v>0</v>
      </c>
      <c r="O399" t="n">
        <v>0</v>
      </c>
      <c r="P399" t="n">
        <v>0</v>
      </c>
      <c r="Q399" t="n">
        <v>0</v>
      </c>
      <c r="R399" s="2" t="inlineStr"/>
    </row>
    <row r="400" ht="15" customHeight="1">
      <c r="A400" t="inlineStr">
        <is>
          <t>A 48520-2023</t>
        </is>
      </c>
      <c r="B400" s="1" t="n">
        <v>45208</v>
      </c>
      <c r="C400" s="1" t="n">
        <v>45888</v>
      </c>
      <c r="D400" t="inlineStr">
        <is>
          <t>SÖDERMANLANDS LÄN</t>
        </is>
      </c>
      <c r="E400" t="inlineStr">
        <is>
          <t>KATRINEHOLM</t>
        </is>
      </c>
      <c r="G400" t="n">
        <v>1</v>
      </c>
      <c r="H400" t="n">
        <v>0</v>
      </c>
      <c r="I400" t="n">
        <v>0</v>
      </c>
      <c r="J400" t="n">
        <v>0</v>
      </c>
      <c r="K400" t="n">
        <v>0</v>
      </c>
      <c r="L400" t="n">
        <v>0</v>
      </c>
      <c r="M400" t="n">
        <v>0</v>
      </c>
      <c r="N400" t="n">
        <v>0</v>
      </c>
      <c r="O400" t="n">
        <v>0</v>
      </c>
      <c r="P400" t="n">
        <v>0</v>
      </c>
      <c r="Q400" t="n">
        <v>0</v>
      </c>
      <c r="R400" s="2" t="inlineStr"/>
    </row>
    <row r="401" ht="15" customHeight="1">
      <c r="A401" t="inlineStr">
        <is>
          <t>A 9693-2024</t>
        </is>
      </c>
      <c r="B401" s="1" t="n">
        <v>45362</v>
      </c>
      <c r="C401" s="1" t="n">
        <v>45888</v>
      </c>
      <c r="D401" t="inlineStr">
        <is>
          <t>SÖDERMANLANDS LÄN</t>
        </is>
      </c>
      <c r="E401" t="inlineStr">
        <is>
          <t>KATRINEHOLM</t>
        </is>
      </c>
      <c r="G401" t="n">
        <v>5.9</v>
      </c>
      <c r="H401" t="n">
        <v>0</v>
      </c>
      <c r="I401" t="n">
        <v>0</v>
      </c>
      <c r="J401" t="n">
        <v>0</v>
      </c>
      <c r="K401" t="n">
        <v>0</v>
      </c>
      <c r="L401" t="n">
        <v>0</v>
      </c>
      <c r="M401" t="n">
        <v>0</v>
      </c>
      <c r="N401" t="n">
        <v>0</v>
      </c>
      <c r="O401" t="n">
        <v>0</v>
      </c>
      <c r="P401" t="n">
        <v>0</v>
      </c>
      <c r="Q401" t="n">
        <v>0</v>
      </c>
      <c r="R401" s="2" t="inlineStr"/>
    </row>
    <row r="402" ht="15" customHeight="1">
      <c r="A402" t="inlineStr">
        <is>
          <t>A 32818-2023</t>
        </is>
      </c>
      <c r="B402" s="1" t="n">
        <v>45124.55633101852</v>
      </c>
      <c r="C402" s="1" t="n">
        <v>45888</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57132-2020</t>
        </is>
      </c>
      <c r="B403" s="1" t="n">
        <v>44139</v>
      </c>
      <c r="C403" s="1" t="n">
        <v>45888</v>
      </c>
      <c r="D403" t="inlineStr">
        <is>
          <t>SÖDERMANLANDS LÄN</t>
        </is>
      </c>
      <c r="E403" t="inlineStr">
        <is>
          <t>KATRINEHOLM</t>
        </is>
      </c>
      <c r="G403" t="n">
        <v>4</v>
      </c>
      <c r="H403" t="n">
        <v>0</v>
      </c>
      <c r="I403" t="n">
        <v>0</v>
      </c>
      <c r="J403" t="n">
        <v>0</v>
      </c>
      <c r="K403" t="n">
        <v>0</v>
      </c>
      <c r="L403" t="n">
        <v>0</v>
      </c>
      <c r="M403" t="n">
        <v>0</v>
      </c>
      <c r="N403" t="n">
        <v>0</v>
      </c>
      <c r="O403" t="n">
        <v>0</v>
      </c>
      <c r="P403" t="n">
        <v>0</v>
      </c>
      <c r="Q403" t="n">
        <v>0</v>
      </c>
      <c r="R403" s="2" t="inlineStr"/>
    </row>
    <row r="404" ht="15" customHeight="1">
      <c r="A404" t="inlineStr">
        <is>
          <t>A 35864-2023</t>
        </is>
      </c>
      <c r="B404" s="1" t="n">
        <v>45147</v>
      </c>
      <c r="C404" s="1" t="n">
        <v>45888</v>
      </c>
      <c r="D404" t="inlineStr">
        <is>
          <t>SÖDERMANLANDS LÄN</t>
        </is>
      </c>
      <c r="E404" t="inlineStr">
        <is>
          <t>KATRINEHOLM</t>
        </is>
      </c>
      <c r="F404" t="inlineStr">
        <is>
          <t>Övriga Aktiebolag</t>
        </is>
      </c>
      <c r="G404" t="n">
        <v>4.7</v>
      </c>
      <c r="H404" t="n">
        <v>0</v>
      </c>
      <c r="I404" t="n">
        <v>0</v>
      </c>
      <c r="J404" t="n">
        <v>0</v>
      </c>
      <c r="K404" t="n">
        <v>0</v>
      </c>
      <c r="L404" t="n">
        <v>0</v>
      </c>
      <c r="M404" t="n">
        <v>0</v>
      </c>
      <c r="N404" t="n">
        <v>0</v>
      </c>
      <c r="O404" t="n">
        <v>0</v>
      </c>
      <c r="P404" t="n">
        <v>0</v>
      </c>
      <c r="Q404" t="n">
        <v>0</v>
      </c>
      <c r="R404" s="2" t="inlineStr"/>
    </row>
    <row r="405" ht="15" customHeight="1">
      <c r="A405" t="inlineStr">
        <is>
          <t>A 7322-2023</t>
        </is>
      </c>
      <c r="B405" s="1" t="n">
        <v>44970</v>
      </c>
      <c r="C405" s="1" t="n">
        <v>45888</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60160-2022</t>
        </is>
      </c>
      <c r="B406" s="1" t="n">
        <v>44909</v>
      </c>
      <c r="C406" s="1" t="n">
        <v>45888</v>
      </c>
      <c r="D406" t="inlineStr">
        <is>
          <t>SÖDERMANLANDS LÄN</t>
        </is>
      </c>
      <c r="E406" t="inlineStr">
        <is>
          <t>KATRINEHOLM</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12238-2021</t>
        </is>
      </c>
      <c r="B407" s="1" t="n">
        <v>44266</v>
      </c>
      <c r="C407" s="1" t="n">
        <v>45888</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48685-2022</t>
        </is>
      </c>
      <c r="B408" s="1" t="n">
        <v>44859</v>
      </c>
      <c r="C408" s="1" t="n">
        <v>45888</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42519-2024</t>
        </is>
      </c>
      <c r="B409" s="1" t="n">
        <v>45565</v>
      </c>
      <c r="C409" s="1" t="n">
        <v>45888</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43499-2021</t>
        </is>
      </c>
      <c r="B410" s="1" t="n">
        <v>44433</v>
      </c>
      <c r="C410" s="1" t="n">
        <v>45888</v>
      </c>
      <c r="D410" t="inlineStr">
        <is>
          <t>SÖDERMANLANDS LÄN</t>
        </is>
      </c>
      <c r="E410" t="inlineStr">
        <is>
          <t>KATRINEHOLM</t>
        </is>
      </c>
      <c r="F410" t="inlineStr">
        <is>
          <t>Övriga Aktiebolag</t>
        </is>
      </c>
      <c r="G410" t="n">
        <v>1.4</v>
      </c>
      <c r="H410" t="n">
        <v>0</v>
      </c>
      <c r="I410" t="n">
        <v>0</v>
      </c>
      <c r="J410" t="n">
        <v>0</v>
      </c>
      <c r="K410" t="n">
        <v>0</v>
      </c>
      <c r="L410" t="n">
        <v>0</v>
      </c>
      <c r="M410" t="n">
        <v>0</v>
      </c>
      <c r="N410" t="n">
        <v>0</v>
      </c>
      <c r="O410" t="n">
        <v>0</v>
      </c>
      <c r="P410" t="n">
        <v>0</v>
      </c>
      <c r="Q410" t="n">
        <v>0</v>
      </c>
      <c r="R410" s="2" t="inlineStr"/>
    </row>
    <row r="411" ht="15" customHeight="1">
      <c r="A411" t="inlineStr">
        <is>
          <t>A 32169-2022</t>
        </is>
      </c>
      <c r="B411" s="1" t="n">
        <v>44781</v>
      </c>
      <c r="C411" s="1" t="n">
        <v>45888</v>
      </c>
      <c r="D411" t="inlineStr">
        <is>
          <t>SÖDERMANLANDS LÄN</t>
        </is>
      </c>
      <c r="E411" t="inlineStr">
        <is>
          <t>KATRINEHOLM</t>
        </is>
      </c>
      <c r="F411" t="inlineStr">
        <is>
          <t>Kommuner</t>
        </is>
      </c>
      <c r="G411" t="n">
        <v>0.9</v>
      </c>
      <c r="H411" t="n">
        <v>0</v>
      </c>
      <c r="I411" t="n">
        <v>0</v>
      </c>
      <c r="J411" t="n">
        <v>0</v>
      </c>
      <c r="K411" t="n">
        <v>0</v>
      </c>
      <c r="L411" t="n">
        <v>0</v>
      </c>
      <c r="M411" t="n">
        <v>0</v>
      </c>
      <c r="N411" t="n">
        <v>0</v>
      </c>
      <c r="O411" t="n">
        <v>0</v>
      </c>
      <c r="P411" t="n">
        <v>0</v>
      </c>
      <c r="Q411" t="n">
        <v>0</v>
      </c>
      <c r="R411" s="2" t="inlineStr"/>
    </row>
    <row r="412" ht="15" customHeight="1">
      <c r="A412" t="inlineStr">
        <is>
          <t>A 24983-2024</t>
        </is>
      </c>
      <c r="B412" s="1" t="n">
        <v>45461</v>
      </c>
      <c r="C412" s="1" t="n">
        <v>45888</v>
      </c>
      <c r="D412" t="inlineStr">
        <is>
          <t>SÖDERMANLANDS LÄN</t>
        </is>
      </c>
      <c r="E412" t="inlineStr">
        <is>
          <t>KATRINEHOLM</t>
        </is>
      </c>
      <c r="G412" t="n">
        <v>2.6</v>
      </c>
      <c r="H412" t="n">
        <v>0</v>
      </c>
      <c r="I412" t="n">
        <v>0</v>
      </c>
      <c r="J412" t="n">
        <v>0</v>
      </c>
      <c r="K412" t="n">
        <v>0</v>
      </c>
      <c r="L412" t="n">
        <v>0</v>
      </c>
      <c r="M412" t="n">
        <v>0</v>
      </c>
      <c r="N412" t="n">
        <v>0</v>
      </c>
      <c r="O412" t="n">
        <v>0</v>
      </c>
      <c r="P412" t="n">
        <v>0</v>
      </c>
      <c r="Q412" t="n">
        <v>0</v>
      </c>
      <c r="R412" s="2" t="inlineStr"/>
    </row>
    <row r="413" ht="15" customHeight="1">
      <c r="A413" t="inlineStr">
        <is>
          <t>A 6810-2023</t>
        </is>
      </c>
      <c r="B413" s="1" t="n">
        <v>44964</v>
      </c>
      <c r="C413" s="1" t="n">
        <v>45888</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11635-2023</t>
        </is>
      </c>
      <c r="B414" s="1" t="n">
        <v>44994</v>
      </c>
      <c r="C414" s="1" t="n">
        <v>45888</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57648-2020</t>
        </is>
      </c>
      <c r="B415" s="1" t="n">
        <v>44140.69324074074</v>
      </c>
      <c r="C415" s="1" t="n">
        <v>45888</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34732-2022</t>
        </is>
      </c>
      <c r="B416" s="1" t="n">
        <v>44795</v>
      </c>
      <c r="C416" s="1" t="n">
        <v>45888</v>
      </c>
      <c r="D416" t="inlineStr">
        <is>
          <t>SÖDERMANLANDS LÄN</t>
        </is>
      </c>
      <c r="E416" t="inlineStr">
        <is>
          <t>KATRINEHOLM</t>
        </is>
      </c>
      <c r="G416" t="n">
        <v>3</v>
      </c>
      <c r="H416" t="n">
        <v>0</v>
      </c>
      <c r="I416" t="n">
        <v>0</v>
      </c>
      <c r="J416" t="n">
        <v>0</v>
      </c>
      <c r="K416" t="n">
        <v>0</v>
      </c>
      <c r="L416" t="n">
        <v>0</v>
      </c>
      <c r="M416" t="n">
        <v>0</v>
      </c>
      <c r="N416" t="n">
        <v>0</v>
      </c>
      <c r="O416" t="n">
        <v>0</v>
      </c>
      <c r="P416" t="n">
        <v>0</v>
      </c>
      <c r="Q416" t="n">
        <v>0</v>
      </c>
      <c r="R416" s="2" t="inlineStr"/>
    </row>
    <row r="417" ht="15" customHeight="1">
      <c r="A417" t="inlineStr">
        <is>
          <t>A 22336-2025</t>
        </is>
      </c>
      <c r="B417" s="1" t="n">
        <v>45786.44217592593</v>
      </c>
      <c r="C417" s="1" t="n">
        <v>45888</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55122-2022</t>
        </is>
      </c>
      <c r="B418" s="1" t="n">
        <v>44886.65092592593</v>
      </c>
      <c r="C418" s="1" t="n">
        <v>45888</v>
      </c>
      <c r="D418" t="inlineStr">
        <is>
          <t>SÖDERMANLANDS LÄN</t>
        </is>
      </c>
      <c r="E418" t="inlineStr">
        <is>
          <t>KATRINEHOLM</t>
        </is>
      </c>
      <c r="G418" t="n">
        <v>6.5</v>
      </c>
      <c r="H418" t="n">
        <v>0</v>
      </c>
      <c r="I418" t="n">
        <v>0</v>
      </c>
      <c r="J418" t="n">
        <v>0</v>
      </c>
      <c r="K418" t="n">
        <v>0</v>
      </c>
      <c r="L418" t="n">
        <v>0</v>
      </c>
      <c r="M418" t="n">
        <v>0</v>
      </c>
      <c r="N418" t="n">
        <v>0</v>
      </c>
      <c r="O418" t="n">
        <v>0</v>
      </c>
      <c r="P418" t="n">
        <v>0</v>
      </c>
      <c r="Q418" t="n">
        <v>0</v>
      </c>
      <c r="R418" s="2" t="inlineStr"/>
    </row>
    <row r="419" ht="15" customHeight="1">
      <c r="A419" t="inlineStr">
        <is>
          <t>A 32943-2024</t>
        </is>
      </c>
      <c r="B419" s="1" t="n">
        <v>45517</v>
      </c>
      <c r="C419" s="1" t="n">
        <v>45888</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3982-2024</t>
        </is>
      </c>
      <c r="B420" s="1" t="n">
        <v>45322</v>
      </c>
      <c r="C420" s="1" t="n">
        <v>45888</v>
      </c>
      <c r="D420" t="inlineStr">
        <is>
          <t>SÖDERMANLANDS LÄN</t>
        </is>
      </c>
      <c r="E420" t="inlineStr">
        <is>
          <t>KATRINEHOLM</t>
        </is>
      </c>
      <c r="G420" t="n">
        <v>3.7</v>
      </c>
      <c r="H420" t="n">
        <v>0</v>
      </c>
      <c r="I420" t="n">
        <v>0</v>
      </c>
      <c r="J420" t="n">
        <v>0</v>
      </c>
      <c r="K420" t="n">
        <v>0</v>
      </c>
      <c r="L420" t="n">
        <v>0</v>
      </c>
      <c r="M420" t="n">
        <v>0</v>
      </c>
      <c r="N420" t="n">
        <v>0</v>
      </c>
      <c r="O420" t="n">
        <v>0</v>
      </c>
      <c r="P420" t="n">
        <v>0</v>
      </c>
      <c r="Q420" t="n">
        <v>0</v>
      </c>
      <c r="R420" s="2" t="inlineStr"/>
    </row>
    <row r="421" ht="15" customHeight="1">
      <c r="A421" t="inlineStr">
        <is>
          <t>A 13086-2023</t>
        </is>
      </c>
      <c r="B421" s="1" t="n">
        <v>45002.42188657408</v>
      </c>
      <c r="C421" s="1" t="n">
        <v>45888</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43964-2022</t>
        </is>
      </c>
      <c r="B422" s="1" t="n">
        <v>44837</v>
      </c>
      <c r="C422" s="1" t="n">
        <v>45888</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46075-2023</t>
        </is>
      </c>
      <c r="B423" s="1" t="n">
        <v>45196</v>
      </c>
      <c r="C423" s="1" t="n">
        <v>45888</v>
      </c>
      <c r="D423" t="inlineStr">
        <is>
          <t>SÖDERMANLANDS LÄN</t>
        </is>
      </c>
      <c r="E423" t="inlineStr">
        <is>
          <t>KATRINEHOLM</t>
        </is>
      </c>
      <c r="F423" t="inlineStr">
        <is>
          <t>Övriga Aktiebolag</t>
        </is>
      </c>
      <c r="G423" t="n">
        <v>9.5</v>
      </c>
      <c r="H423" t="n">
        <v>0</v>
      </c>
      <c r="I423" t="n">
        <v>0</v>
      </c>
      <c r="J423" t="n">
        <v>0</v>
      </c>
      <c r="K423" t="n">
        <v>0</v>
      </c>
      <c r="L423" t="n">
        <v>0</v>
      </c>
      <c r="M423" t="n">
        <v>0</v>
      </c>
      <c r="N423" t="n">
        <v>0</v>
      </c>
      <c r="O423" t="n">
        <v>0</v>
      </c>
      <c r="P423" t="n">
        <v>0</v>
      </c>
      <c r="Q423" t="n">
        <v>0</v>
      </c>
      <c r="R423" s="2" t="inlineStr"/>
    </row>
    <row r="424" ht="15" customHeight="1">
      <c r="A424" t="inlineStr">
        <is>
          <t>A 9992-2022</t>
        </is>
      </c>
      <c r="B424" s="1" t="n">
        <v>44621</v>
      </c>
      <c r="C424" s="1" t="n">
        <v>45888</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44659-2023</t>
        </is>
      </c>
      <c r="B425" s="1" t="n">
        <v>45189</v>
      </c>
      <c r="C425" s="1" t="n">
        <v>45888</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17820-2025</t>
        </is>
      </c>
      <c r="B426" s="1" t="n">
        <v>45758</v>
      </c>
      <c r="C426" s="1" t="n">
        <v>45888</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48682-2022</t>
        </is>
      </c>
      <c r="B427" s="1" t="n">
        <v>44859</v>
      </c>
      <c r="C427" s="1" t="n">
        <v>45888</v>
      </c>
      <c r="D427" t="inlineStr">
        <is>
          <t>SÖDERMANLANDS LÄN</t>
        </is>
      </c>
      <c r="E427" t="inlineStr">
        <is>
          <t>KATRINEHOLM</t>
        </is>
      </c>
      <c r="G427" t="n">
        <v>2</v>
      </c>
      <c r="H427" t="n">
        <v>0</v>
      </c>
      <c r="I427" t="n">
        <v>0</v>
      </c>
      <c r="J427" t="n">
        <v>0</v>
      </c>
      <c r="K427" t="n">
        <v>0</v>
      </c>
      <c r="L427" t="n">
        <v>0</v>
      </c>
      <c r="M427" t="n">
        <v>0</v>
      </c>
      <c r="N427" t="n">
        <v>0</v>
      </c>
      <c r="O427" t="n">
        <v>0</v>
      </c>
      <c r="P427" t="n">
        <v>0</v>
      </c>
      <c r="Q427" t="n">
        <v>0</v>
      </c>
      <c r="R427" s="2" t="inlineStr"/>
    </row>
    <row r="428" ht="15" customHeight="1">
      <c r="A428" t="inlineStr">
        <is>
          <t>A 57154-2023</t>
        </is>
      </c>
      <c r="B428" s="1" t="n">
        <v>45245</v>
      </c>
      <c r="C428" s="1" t="n">
        <v>45888</v>
      </c>
      <c r="D428" t="inlineStr">
        <is>
          <t>SÖDERMANLANDS LÄN</t>
        </is>
      </c>
      <c r="E428" t="inlineStr">
        <is>
          <t>KATRINEHOLM</t>
        </is>
      </c>
      <c r="F428" t="inlineStr">
        <is>
          <t>Allmännings- och besparingsskogar</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30242-2023</t>
        </is>
      </c>
      <c r="B429" s="1" t="n">
        <v>45099</v>
      </c>
      <c r="C429" s="1" t="n">
        <v>45888</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22476-2025</t>
        </is>
      </c>
      <c r="B430" s="1" t="n">
        <v>45786</v>
      </c>
      <c r="C430" s="1" t="n">
        <v>45888</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23838-2021</t>
        </is>
      </c>
      <c r="B431" s="1" t="n">
        <v>44335</v>
      </c>
      <c r="C431" s="1" t="n">
        <v>45888</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14629-2023</t>
        </is>
      </c>
      <c r="B432" s="1" t="n">
        <v>45013</v>
      </c>
      <c r="C432" s="1" t="n">
        <v>45888</v>
      </c>
      <c r="D432" t="inlineStr">
        <is>
          <t>SÖDERMANLANDS LÄN</t>
        </is>
      </c>
      <c r="E432" t="inlineStr">
        <is>
          <t>KATRINEHOLM</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55031-2020</t>
        </is>
      </c>
      <c r="B433" s="1" t="n">
        <v>44130</v>
      </c>
      <c r="C433" s="1" t="n">
        <v>45888</v>
      </c>
      <c r="D433" t="inlineStr">
        <is>
          <t>SÖDERMANLANDS LÄN</t>
        </is>
      </c>
      <c r="E433" t="inlineStr">
        <is>
          <t>KATRINEHOLM</t>
        </is>
      </c>
      <c r="G433" t="n">
        <v>1.9</v>
      </c>
      <c r="H433" t="n">
        <v>0</v>
      </c>
      <c r="I433" t="n">
        <v>0</v>
      </c>
      <c r="J433" t="n">
        <v>0</v>
      </c>
      <c r="K433" t="n">
        <v>0</v>
      </c>
      <c r="L433" t="n">
        <v>0</v>
      </c>
      <c r="M433" t="n">
        <v>0</v>
      </c>
      <c r="N433" t="n">
        <v>0</v>
      </c>
      <c r="O433" t="n">
        <v>0</v>
      </c>
      <c r="P433" t="n">
        <v>0</v>
      </c>
      <c r="Q433" t="n">
        <v>0</v>
      </c>
      <c r="R433" s="2" t="inlineStr"/>
    </row>
    <row r="434" ht="15" customHeight="1">
      <c r="A434" t="inlineStr">
        <is>
          <t>A 57265-2022</t>
        </is>
      </c>
      <c r="B434" s="1" t="n">
        <v>44895</v>
      </c>
      <c r="C434" s="1" t="n">
        <v>45888</v>
      </c>
      <c r="D434" t="inlineStr">
        <is>
          <t>SÖDERMANLANDS LÄN</t>
        </is>
      </c>
      <c r="E434" t="inlineStr">
        <is>
          <t>KATRINEHOLM</t>
        </is>
      </c>
      <c r="G434" t="n">
        <v>2</v>
      </c>
      <c r="H434" t="n">
        <v>0</v>
      </c>
      <c r="I434" t="n">
        <v>0</v>
      </c>
      <c r="J434" t="n">
        <v>0</v>
      </c>
      <c r="K434" t="n">
        <v>0</v>
      </c>
      <c r="L434" t="n">
        <v>0</v>
      </c>
      <c r="M434" t="n">
        <v>0</v>
      </c>
      <c r="N434" t="n">
        <v>0</v>
      </c>
      <c r="O434" t="n">
        <v>0</v>
      </c>
      <c r="P434" t="n">
        <v>0</v>
      </c>
      <c r="Q434" t="n">
        <v>0</v>
      </c>
      <c r="R434" s="2" t="inlineStr"/>
    </row>
    <row r="435" ht="15" customHeight="1">
      <c r="A435" t="inlineStr">
        <is>
          <t>A 57524-2021</t>
        </is>
      </c>
      <c r="B435" s="1" t="n">
        <v>44483</v>
      </c>
      <c r="C435" s="1" t="n">
        <v>45888</v>
      </c>
      <c r="D435" t="inlineStr">
        <is>
          <t>SÖDERMANLANDS LÄN</t>
        </is>
      </c>
      <c r="E435" t="inlineStr">
        <is>
          <t>KATRINEHOLM</t>
        </is>
      </c>
      <c r="G435" t="n">
        <v>0.4</v>
      </c>
      <c r="H435" t="n">
        <v>0</v>
      </c>
      <c r="I435" t="n">
        <v>0</v>
      </c>
      <c r="J435" t="n">
        <v>0</v>
      </c>
      <c r="K435" t="n">
        <v>0</v>
      </c>
      <c r="L435" t="n">
        <v>0</v>
      </c>
      <c r="M435" t="n">
        <v>0</v>
      </c>
      <c r="N435" t="n">
        <v>0</v>
      </c>
      <c r="O435" t="n">
        <v>0</v>
      </c>
      <c r="P435" t="n">
        <v>0</v>
      </c>
      <c r="Q435" t="n">
        <v>0</v>
      </c>
      <c r="R435" s="2" t="inlineStr"/>
    </row>
    <row r="436" ht="15" customHeight="1">
      <c r="A436" t="inlineStr">
        <is>
          <t>A 6298-2024</t>
        </is>
      </c>
      <c r="B436" s="1" t="n">
        <v>45338.34245370371</v>
      </c>
      <c r="C436" s="1" t="n">
        <v>45888</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8917-2024</t>
        </is>
      </c>
      <c r="B437" s="1" t="n">
        <v>45357.37618055556</v>
      </c>
      <c r="C437" s="1" t="n">
        <v>45888</v>
      </c>
      <c r="D437" t="inlineStr">
        <is>
          <t>SÖDERMANLANDS LÄN</t>
        </is>
      </c>
      <c r="E437" t="inlineStr">
        <is>
          <t>KATRINEHOLM</t>
        </is>
      </c>
      <c r="G437" t="n">
        <v>3</v>
      </c>
      <c r="H437" t="n">
        <v>0</v>
      </c>
      <c r="I437" t="n">
        <v>0</v>
      </c>
      <c r="J437" t="n">
        <v>0</v>
      </c>
      <c r="K437" t="n">
        <v>0</v>
      </c>
      <c r="L437" t="n">
        <v>0</v>
      </c>
      <c r="M437" t="n">
        <v>0</v>
      </c>
      <c r="N437" t="n">
        <v>0</v>
      </c>
      <c r="O437" t="n">
        <v>0</v>
      </c>
      <c r="P437" t="n">
        <v>0</v>
      </c>
      <c r="Q437" t="n">
        <v>0</v>
      </c>
      <c r="R437" s="2" t="inlineStr"/>
    </row>
    <row r="438" ht="15" customHeight="1">
      <c r="A438" t="inlineStr">
        <is>
          <t>A 27345-2023</t>
        </is>
      </c>
      <c r="B438" s="1" t="n">
        <v>45096</v>
      </c>
      <c r="C438" s="1" t="n">
        <v>45888</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53996-2023</t>
        </is>
      </c>
      <c r="B439" s="1" t="n">
        <v>45231</v>
      </c>
      <c r="C439" s="1" t="n">
        <v>45888</v>
      </c>
      <c r="D439" t="inlineStr">
        <is>
          <t>SÖDERMANLANDS LÄN</t>
        </is>
      </c>
      <c r="E439" t="inlineStr">
        <is>
          <t>KATRINEHOLM</t>
        </is>
      </c>
      <c r="G439" t="n">
        <v>4.9</v>
      </c>
      <c r="H439" t="n">
        <v>0</v>
      </c>
      <c r="I439" t="n">
        <v>0</v>
      </c>
      <c r="J439" t="n">
        <v>0</v>
      </c>
      <c r="K439" t="n">
        <v>0</v>
      </c>
      <c r="L439" t="n">
        <v>0</v>
      </c>
      <c r="M439" t="n">
        <v>0</v>
      </c>
      <c r="N439" t="n">
        <v>0</v>
      </c>
      <c r="O439" t="n">
        <v>0</v>
      </c>
      <c r="P439" t="n">
        <v>0</v>
      </c>
      <c r="Q439" t="n">
        <v>0</v>
      </c>
      <c r="R439" s="2" t="inlineStr"/>
    </row>
    <row r="440" ht="15" customHeight="1">
      <c r="A440" t="inlineStr">
        <is>
          <t>A 11127-2023</t>
        </is>
      </c>
      <c r="B440" s="1" t="n">
        <v>44987</v>
      </c>
      <c r="C440" s="1" t="n">
        <v>45888</v>
      </c>
      <c r="D440" t="inlineStr">
        <is>
          <t>SÖDERMANLANDS LÄN</t>
        </is>
      </c>
      <c r="E440" t="inlineStr">
        <is>
          <t>KATRINEHOLM</t>
        </is>
      </c>
      <c r="G440" t="n">
        <v>4.3</v>
      </c>
      <c r="H440" t="n">
        <v>0</v>
      </c>
      <c r="I440" t="n">
        <v>0</v>
      </c>
      <c r="J440" t="n">
        <v>0</v>
      </c>
      <c r="K440" t="n">
        <v>0</v>
      </c>
      <c r="L440" t="n">
        <v>0</v>
      </c>
      <c r="M440" t="n">
        <v>0</v>
      </c>
      <c r="N440" t="n">
        <v>0</v>
      </c>
      <c r="O440" t="n">
        <v>0</v>
      </c>
      <c r="P440" t="n">
        <v>0</v>
      </c>
      <c r="Q440" t="n">
        <v>0</v>
      </c>
      <c r="R440" s="2" t="inlineStr"/>
    </row>
    <row r="441" ht="15" customHeight="1">
      <c r="A441" t="inlineStr">
        <is>
          <t>A 23050-2025</t>
        </is>
      </c>
      <c r="B441" s="1" t="n">
        <v>45790.69971064815</v>
      </c>
      <c r="C441" s="1" t="n">
        <v>45888</v>
      </c>
      <c r="D441" t="inlineStr">
        <is>
          <t>SÖDERMANLANDS LÄN</t>
        </is>
      </c>
      <c r="E441" t="inlineStr">
        <is>
          <t>KATRINEHOLM</t>
        </is>
      </c>
      <c r="G441" t="n">
        <v>3.7</v>
      </c>
      <c r="H441" t="n">
        <v>0</v>
      </c>
      <c r="I441" t="n">
        <v>0</v>
      </c>
      <c r="J441" t="n">
        <v>0</v>
      </c>
      <c r="K441" t="n">
        <v>0</v>
      </c>
      <c r="L441" t="n">
        <v>0</v>
      </c>
      <c r="M441" t="n">
        <v>0</v>
      </c>
      <c r="N441" t="n">
        <v>0</v>
      </c>
      <c r="O441" t="n">
        <v>0</v>
      </c>
      <c r="P441" t="n">
        <v>0</v>
      </c>
      <c r="Q441" t="n">
        <v>0</v>
      </c>
      <c r="R441" s="2" t="inlineStr"/>
    </row>
    <row r="442" ht="15" customHeight="1">
      <c r="A442" t="inlineStr">
        <is>
          <t>A 37185-2023</t>
        </is>
      </c>
      <c r="B442" s="1" t="n">
        <v>45154</v>
      </c>
      <c r="C442" s="1" t="n">
        <v>45888</v>
      </c>
      <c r="D442" t="inlineStr">
        <is>
          <t>SÖDERMANLANDS LÄN</t>
        </is>
      </c>
      <c r="E442" t="inlineStr">
        <is>
          <t>KATRINEHOLM</t>
        </is>
      </c>
      <c r="G442" t="n">
        <v>3</v>
      </c>
      <c r="H442" t="n">
        <v>0</v>
      </c>
      <c r="I442" t="n">
        <v>0</v>
      </c>
      <c r="J442" t="n">
        <v>0</v>
      </c>
      <c r="K442" t="n">
        <v>0</v>
      </c>
      <c r="L442" t="n">
        <v>0</v>
      </c>
      <c r="M442" t="n">
        <v>0</v>
      </c>
      <c r="N442" t="n">
        <v>0</v>
      </c>
      <c r="O442" t="n">
        <v>0</v>
      </c>
      <c r="P442" t="n">
        <v>0</v>
      </c>
      <c r="Q442" t="n">
        <v>0</v>
      </c>
      <c r="R442" s="2" t="inlineStr"/>
    </row>
    <row r="443" ht="15" customHeight="1">
      <c r="A443" t="inlineStr">
        <is>
          <t>A 48877-2022</t>
        </is>
      </c>
      <c r="B443" s="1" t="n">
        <v>44859</v>
      </c>
      <c r="C443" s="1" t="n">
        <v>45888</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34539-2022</t>
        </is>
      </c>
      <c r="B444" s="1" t="n">
        <v>44793.50563657407</v>
      </c>
      <c r="C444" s="1" t="n">
        <v>45888</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3115-2024</t>
        </is>
      </c>
      <c r="B445" s="1" t="n">
        <v>45316.49630787037</v>
      </c>
      <c r="C445" s="1" t="n">
        <v>45888</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23705-2023</t>
        </is>
      </c>
      <c r="B446" s="1" t="n">
        <v>45077</v>
      </c>
      <c r="C446" s="1" t="n">
        <v>45888</v>
      </c>
      <c r="D446" t="inlineStr">
        <is>
          <t>SÖDERMANLANDS LÄN</t>
        </is>
      </c>
      <c r="E446" t="inlineStr">
        <is>
          <t>KATRINEHOLM</t>
        </is>
      </c>
      <c r="F446" t="inlineStr">
        <is>
          <t>Kyrkan</t>
        </is>
      </c>
      <c r="G446" t="n">
        <v>11.9</v>
      </c>
      <c r="H446" t="n">
        <v>0</v>
      </c>
      <c r="I446" t="n">
        <v>0</v>
      </c>
      <c r="J446" t="n">
        <v>0</v>
      </c>
      <c r="K446" t="n">
        <v>0</v>
      </c>
      <c r="L446" t="n">
        <v>0</v>
      </c>
      <c r="M446" t="n">
        <v>0</v>
      </c>
      <c r="N446" t="n">
        <v>0</v>
      </c>
      <c r="O446" t="n">
        <v>0</v>
      </c>
      <c r="P446" t="n">
        <v>0</v>
      </c>
      <c r="Q446" t="n">
        <v>0</v>
      </c>
      <c r="R446" s="2" t="inlineStr"/>
    </row>
    <row r="447" ht="15" customHeight="1">
      <c r="A447" t="inlineStr">
        <is>
          <t>A 7305-2024</t>
        </is>
      </c>
      <c r="B447" s="1" t="n">
        <v>45344</v>
      </c>
      <c r="C447" s="1" t="n">
        <v>45888</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52769-2023</t>
        </is>
      </c>
      <c r="B448" s="1" t="n">
        <v>45226</v>
      </c>
      <c r="C448" s="1" t="n">
        <v>45888</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7223-2022</t>
        </is>
      </c>
      <c r="B449" s="1" t="n">
        <v>44603</v>
      </c>
      <c r="C449" s="1" t="n">
        <v>45888</v>
      </c>
      <c r="D449" t="inlineStr">
        <is>
          <t>SÖDERMANLANDS LÄN</t>
        </is>
      </c>
      <c r="E449" t="inlineStr">
        <is>
          <t>KATRINEHOLM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24284-2024</t>
        </is>
      </c>
      <c r="B450" s="1" t="n">
        <v>45457</v>
      </c>
      <c r="C450" s="1" t="n">
        <v>45888</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66393-2021</t>
        </is>
      </c>
      <c r="B451" s="1" t="n">
        <v>44518</v>
      </c>
      <c r="C451" s="1" t="n">
        <v>45888</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51446-2023</t>
        </is>
      </c>
      <c r="B452" s="1" t="n">
        <v>45220.48068287037</v>
      </c>
      <c r="C452" s="1" t="n">
        <v>45888</v>
      </c>
      <c r="D452" t="inlineStr">
        <is>
          <t>SÖDERMANLANDS LÄN</t>
        </is>
      </c>
      <c r="E452" t="inlineStr">
        <is>
          <t>KATRINEHOLM</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50840-2022</t>
        </is>
      </c>
      <c r="B453" s="1" t="n">
        <v>44862</v>
      </c>
      <c r="C453" s="1" t="n">
        <v>45888</v>
      </c>
      <c r="D453" t="inlineStr">
        <is>
          <t>SÖDERMANLANDS LÄN</t>
        </is>
      </c>
      <c r="E453" t="inlineStr">
        <is>
          <t>KATRINEHOLM</t>
        </is>
      </c>
      <c r="G453" t="n">
        <v>4.2</v>
      </c>
      <c r="H453" t="n">
        <v>0</v>
      </c>
      <c r="I453" t="n">
        <v>0</v>
      </c>
      <c r="J453" t="n">
        <v>0</v>
      </c>
      <c r="K453" t="n">
        <v>0</v>
      </c>
      <c r="L453" t="n">
        <v>0</v>
      </c>
      <c r="M453" t="n">
        <v>0</v>
      </c>
      <c r="N453" t="n">
        <v>0</v>
      </c>
      <c r="O453" t="n">
        <v>0</v>
      </c>
      <c r="P453" t="n">
        <v>0</v>
      </c>
      <c r="Q453" t="n">
        <v>0</v>
      </c>
      <c r="R453" s="2" t="inlineStr"/>
    </row>
    <row r="454" ht="15" customHeight="1">
      <c r="A454" t="inlineStr">
        <is>
          <t>A 13113-2023</t>
        </is>
      </c>
      <c r="B454" s="1" t="n">
        <v>45002</v>
      </c>
      <c r="C454" s="1" t="n">
        <v>45888</v>
      </c>
      <c r="D454" t="inlineStr">
        <is>
          <t>SÖDERMANLANDS LÄN</t>
        </is>
      </c>
      <c r="E454" t="inlineStr">
        <is>
          <t>KATRINEHOLM</t>
        </is>
      </c>
      <c r="F454" t="inlineStr">
        <is>
          <t>Allmännings- och besparingsskogar</t>
        </is>
      </c>
      <c r="G454" t="n">
        <v>3.6</v>
      </c>
      <c r="H454" t="n">
        <v>0</v>
      </c>
      <c r="I454" t="n">
        <v>0</v>
      </c>
      <c r="J454" t="n">
        <v>0</v>
      </c>
      <c r="K454" t="n">
        <v>0</v>
      </c>
      <c r="L454" t="n">
        <v>0</v>
      </c>
      <c r="M454" t="n">
        <v>0</v>
      </c>
      <c r="N454" t="n">
        <v>0</v>
      </c>
      <c r="O454" t="n">
        <v>0</v>
      </c>
      <c r="P454" t="n">
        <v>0</v>
      </c>
      <c r="Q454" t="n">
        <v>0</v>
      </c>
      <c r="R454" s="2" t="inlineStr"/>
    </row>
    <row r="455" ht="15" customHeight="1">
      <c r="A455" t="inlineStr">
        <is>
          <t>A 24902-2024</t>
        </is>
      </c>
      <c r="B455" s="1" t="n">
        <v>45461</v>
      </c>
      <c r="C455" s="1" t="n">
        <v>45888</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14245-2024</t>
        </is>
      </c>
      <c r="B456" s="1" t="n">
        <v>45393</v>
      </c>
      <c r="C456" s="1" t="n">
        <v>45888</v>
      </c>
      <c r="D456" t="inlineStr">
        <is>
          <t>SÖDERMANLANDS LÄN</t>
        </is>
      </c>
      <c r="E456" t="inlineStr">
        <is>
          <t>KATRINEHOLM</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46833-2020</t>
        </is>
      </c>
      <c r="B457" s="1" t="n">
        <v>44089</v>
      </c>
      <c r="C457" s="1" t="n">
        <v>45888</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36832-2023</t>
        </is>
      </c>
      <c r="B458" s="1" t="n">
        <v>45153</v>
      </c>
      <c r="C458" s="1" t="n">
        <v>45888</v>
      </c>
      <c r="D458" t="inlineStr">
        <is>
          <t>SÖDERMANLANDS LÄN</t>
        </is>
      </c>
      <c r="E458" t="inlineStr">
        <is>
          <t>KATRINEHOLM</t>
        </is>
      </c>
      <c r="F458" t="inlineStr">
        <is>
          <t>Övriga Aktiebolag</t>
        </is>
      </c>
      <c r="G458" t="n">
        <v>9</v>
      </c>
      <c r="H458" t="n">
        <v>0</v>
      </c>
      <c r="I458" t="n">
        <v>0</v>
      </c>
      <c r="J458" t="n">
        <v>0</v>
      </c>
      <c r="K458" t="n">
        <v>0</v>
      </c>
      <c r="L458" t="n">
        <v>0</v>
      </c>
      <c r="M458" t="n">
        <v>0</v>
      </c>
      <c r="N458" t="n">
        <v>0</v>
      </c>
      <c r="O458" t="n">
        <v>0</v>
      </c>
      <c r="P458" t="n">
        <v>0</v>
      </c>
      <c r="Q458" t="n">
        <v>0</v>
      </c>
      <c r="R458" s="2" t="inlineStr"/>
    </row>
    <row r="459" ht="15" customHeight="1">
      <c r="A459" t="inlineStr">
        <is>
          <t>A 28931-2024</t>
        </is>
      </c>
      <c r="B459" s="1" t="n">
        <v>45479</v>
      </c>
      <c r="C459" s="1" t="n">
        <v>45888</v>
      </c>
      <c r="D459" t="inlineStr">
        <is>
          <t>SÖDERMANLANDS LÄN</t>
        </is>
      </c>
      <c r="E459" t="inlineStr">
        <is>
          <t>KATRINEHOLM</t>
        </is>
      </c>
      <c r="G459" t="n">
        <v>7.4</v>
      </c>
      <c r="H459" t="n">
        <v>0</v>
      </c>
      <c r="I459" t="n">
        <v>0</v>
      </c>
      <c r="J459" t="n">
        <v>0</v>
      </c>
      <c r="K459" t="n">
        <v>0</v>
      </c>
      <c r="L459" t="n">
        <v>0</v>
      </c>
      <c r="M459" t="n">
        <v>0</v>
      </c>
      <c r="N459" t="n">
        <v>0</v>
      </c>
      <c r="O459" t="n">
        <v>0</v>
      </c>
      <c r="P459" t="n">
        <v>0</v>
      </c>
      <c r="Q459" t="n">
        <v>0</v>
      </c>
      <c r="R459" s="2" t="inlineStr"/>
    </row>
    <row r="460" ht="15" customHeight="1">
      <c r="A460" t="inlineStr">
        <is>
          <t>A 27646-2023</t>
        </is>
      </c>
      <c r="B460" s="1" t="n">
        <v>45097</v>
      </c>
      <c r="C460" s="1" t="n">
        <v>45888</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50626-2024</t>
        </is>
      </c>
      <c r="B461" s="1" t="n">
        <v>45601</v>
      </c>
      <c r="C461" s="1" t="n">
        <v>45888</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35183-2022</t>
        </is>
      </c>
      <c r="B462" s="1" t="n">
        <v>44797</v>
      </c>
      <c r="C462" s="1" t="n">
        <v>45888</v>
      </c>
      <c r="D462" t="inlineStr">
        <is>
          <t>SÖDERMANLANDS LÄN</t>
        </is>
      </c>
      <c r="E462" t="inlineStr">
        <is>
          <t>KATRINEHOLM</t>
        </is>
      </c>
      <c r="G462" t="n">
        <v>4.6</v>
      </c>
      <c r="H462" t="n">
        <v>0</v>
      </c>
      <c r="I462" t="n">
        <v>0</v>
      </c>
      <c r="J462" t="n">
        <v>0</v>
      </c>
      <c r="K462" t="n">
        <v>0</v>
      </c>
      <c r="L462" t="n">
        <v>0</v>
      </c>
      <c r="M462" t="n">
        <v>0</v>
      </c>
      <c r="N462" t="n">
        <v>0</v>
      </c>
      <c r="O462" t="n">
        <v>0</v>
      </c>
      <c r="P462" t="n">
        <v>0</v>
      </c>
      <c r="Q462" t="n">
        <v>0</v>
      </c>
      <c r="R462" s="2" t="inlineStr"/>
    </row>
    <row r="463" ht="15" customHeight="1">
      <c r="A463" t="inlineStr">
        <is>
          <t>A 39052-2023</t>
        </is>
      </c>
      <c r="B463" s="1" t="n">
        <v>45163</v>
      </c>
      <c r="C463" s="1" t="n">
        <v>45888</v>
      </c>
      <c r="D463" t="inlineStr">
        <is>
          <t>SÖDERMANLANDS LÄN</t>
        </is>
      </c>
      <c r="E463" t="inlineStr">
        <is>
          <t>KATRINEHOLM</t>
        </is>
      </c>
      <c r="G463" t="n">
        <v>3</v>
      </c>
      <c r="H463" t="n">
        <v>0</v>
      </c>
      <c r="I463" t="n">
        <v>0</v>
      </c>
      <c r="J463" t="n">
        <v>0</v>
      </c>
      <c r="K463" t="n">
        <v>0</v>
      </c>
      <c r="L463" t="n">
        <v>0</v>
      </c>
      <c r="M463" t="n">
        <v>0</v>
      </c>
      <c r="N463" t="n">
        <v>0</v>
      </c>
      <c r="O463" t="n">
        <v>0</v>
      </c>
      <c r="P463" t="n">
        <v>0</v>
      </c>
      <c r="Q463" t="n">
        <v>0</v>
      </c>
      <c r="R463" s="2" t="inlineStr"/>
    </row>
    <row r="464" ht="15" customHeight="1">
      <c r="A464" t="inlineStr">
        <is>
          <t>A 12888-2025</t>
        </is>
      </c>
      <c r="B464" s="1" t="n">
        <v>45733</v>
      </c>
      <c r="C464" s="1" t="n">
        <v>45888</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41946-2022</t>
        </is>
      </c>
      <c r="B465" s="1" t="n">
        <v>44830.38502314815</v>
      </c>
      <c r="C465" s="1" t="n">
        <v>45888</v>
      </c>
      <c r="D465" t="inlineStr">
        <is>
          <t>SÖDERMANLANDS LÄN</t>
        </is>
      </c>
      <c r="E465" t="inlineStr">
        <is>
          <t>KATRINEHOLM</t>
        </is>
      </c>
      <c r="G465" t="n">
        <v>1</v>
      </c>
      <c r="H465" t="n">
        <v>0</v>
      </c>
      <c r="I465" t="n">
        <v>0</v>
      </c>
      <c r="J465" t="n">
        <v>0</v>
      </c>
      <c r="K465" t="n">
        <v>0</v>
      </c>
      <c r="L465" t="n">
        <v>0</v>
      </c>
      <c r="M465" t="n">
        <v>0</v>
      </c>
      <c r="N465" t="n">
        <v>0</v>
      </c>
      <c r="O465" t="n">
        <v>0</v>
      </c>
      <c r="P465" t="n">
        <v>0</v>
      </c>
      <c r="Q465" t="n">
        <v>0</v>
      </c>
      <c r="R465" s="2" t="inlineStr"/>
    </row>
    <row r="466" ht="15" customHeight="1">
      <c r="A466" t="inlineStr">
        <is>
          <t>A 7197-2023</t>
        </is>
      </c>
      <c r="B466" s="1" t="n">
        <v>44965</v>
      </c>
      <c r="C466" s="1" t="n">
        <v>45888</v>
      </c>
      <c r="D466" t="inlineStr">
        <is>
          <t>SÖDERMANLANDS LÄN</t>
        </is>
      </c>
      <c r="E466" t="inlineStr">
        <is>
          <t>KATRINEHOLM</t>
        </is>
      </c>
      <c r="G466" t="n">
        <v>5.3</v>
      </c>
      <c r="H466" t="n">
        <v>0</v>
      </c>
      <c r="I466" t="n">
        <v>0</v>
      </c>
      <c r="J466" t="n">
        <v>0</v>
      </c>
      <c r="K466" t="n">
        <v>0</v>
      </c>
      <c r="L466" t="n">
        <v>0</v>
      </c>
      <c r="M466" t="n">
        <v>0</v>
      </c>
      <c r="N466" t="n">
        <v>0</v>
      </c>
      <c r="O466" t="n">
        <v>0</v>
      </c>
      <c r="P466" t="n">
        <v>0</v>
      </c>
      <c r="Q466" t="n">
        <v>0</v>
      </c>
      <c r="R466" s="2" t="inlineStr"/>
    </row>
    <row r="467" ht="15" customHeight="1">
      <c r="A467" t="inlineStr">
        <is>
          <t>A 57693-2020</t>
        </is>
      </c>
      <c r="B467" s="1" t="n">
        <v>44140</v>
      </c>
      <c r="C467" s="1" t="n">
        <v>45888</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28394-2023</t>
        </is>
      </c>
      <c r="B468" s="1" t="n">
        <v>45100</v>
      </c>
      <c r="C468" s="1" t="n">
        <v>45888</v>
      </c>
      <c r="D468" t="inlineStr">
        <is>
          <t>SÖDERMANLANDS LÄN</t>
        </is>
      </c>
      <c r="E468" t="inlineStr">
        <is>
          <t>KATRINEHOLM</t>
        </is>
      </c>
      <c r="G468" t="n">
        <v>4.2</v>
      </c>
      <c r="H468" t="n">
        <v>0</v>
      </c>
      <c r="I468" t="n">
        <v>0</v>
      </c>
      <c r="J468" t="n">
        <v>0</v>
      </c>
      <c r="K468" t="n">
        <v>0</v>
      </c>
      <c r="L468" t="n">
        <v>0</v>
      </c>
      <c r="M468" t="n">
        <v>0</v>
      </c>
      <c r="N468" t="n">
        <v>0</v>
      </c>
      <c r="O468" t="n">
        <v>0</v>
      </c>
      <c r="P468" t="n">
        <v>0</v>
      </c>
      <c r="Q468" t="n">
        <v>0</v>
      </c>
      <c r="R468" s="2" t="inlineStr"/>
    </row>
    <row r="469" ht="15" customHeight="1">
      <c r="A469" t="inlineStr">
        <is>
          <t>A 51613-2022</t>
        </is>
      </c>
      <c r="B469" s="1" t="n">
        <v>44871</v>
      </c>
      <c r="C469" s="1" t="n">
        <v>45888</v>
      </c>
      <c r="D469" t="inlineStr">
        <is>
          <t>SÖDERMANLANDS LÄN</t>
        </is>
      </c>
      <c r="E469" t="inlineStr">
        <is>
          <t>KATRINEHOLM</t>
        </is>
      </c>
      <c r="G469" t="n">
        <v>3</v>
      </c>
      <c r="H469" t="n">
        <v>0</v>
      </c>
      <c r="I469" t="n">
        <v>0</v>
      </c>
      <c r="J469" t="n">
        <v>0</v>
      </c>
      <c r="K469" t="n">
        <v>0</v>
      </c>
      <c r="L469" t="n">
        <v>0</v>
      </c>
      <c r="M469" t="n">
        <v>0</v>
      </c>
      <c r="N469" t="n">
        <v>0</v>
      </c>
      <c r="O469" t="n">
        <v>0</v>
      </c>
      <c r="P469" t="n">
        <v>0</v>
      </c>
      <c r="Q469" t="n">
        <v>0</v>
      </c>
      <c r="R469" s="2" t="inlineStr"/>
    </row>
    <row r="470" ht="15" customHeight="1">
      <c r="A470" t="inlineStr">
        <is>
          <t>A 27886-2024</t>
        </is>
      </c>
      <c r="B470" s="1" t="n">
        <v>45475</v>
      </c>
      <c r="C470" s="1" t="n">
        <v>45888</v>
      </c>
      <c r="D470" t="inlineStr">
        <is>
          <t>SÖDERMANLANDS LÄN</t>
        </is>
      </c>
      <c r="E470" t="inlineStr">
        <is>
          <t>KATRINEHOLM</t>
        </is>
      </c>
      <c r="G470" t="n">
        <v>10.3</v>
      </c>
      <c r="H470" t="n">
        <v>0</v>
      </c>
      <c r="I470" t="n">
        <v>0</v>
      </c>
      <c r="J470" t="n">
        <v>0</v>
      </c>
      <c r="K470" t="n">
        <v>0</v>
      </c>
      <c r="L470" t="n">
        <v>0</v>
      </c>
      <c r="M470" t="n">
        <v>0</v>
      </c>
      <c r="N470" t="n">
        <v>0</v>
      </c>
      <c r="O470" t="n">
        <v>0</v>
      </c>
      <c r="P470" t="n">
        <v>0</v>
      </c>
      <c r="Q470" t="n">
        <v>0</v>
      </c>
      <c r="R470" s="2" t="inlineStr"/>
    </row>
    <row r="471" ht="15" customHeight="1">
      <c r="A471" t="inlineStr">
        <is>
          <t>A 19868-2022</t>
        </is>
      </c>
      <c r="B471" s="1" t="n">
        <v>44696</v>
      </c>
      <c r="C471" s="1" t="n">
        <v>45888</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58651-2023</t>
        </is>
      </c>
      <c r="B472" s="1" t="n">
        <v>45247</v>
      </c>
      <c r="C472" s="1" t="n">
        <v>45888</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5836-2025</t>
        </is>
      </c>
      <c r="B473" s="1" t="n">
        <v>45694.86898148148</v>
      </c>
      <c r="C473" s="1" t="n">
        <v>45888</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8765-2023</t>
        </is>
      </c>
      <c r="B474" s="1" t="n">
        <v>44978.52131944444</v>
      </c>
      <c r="C474" s="1" t="n">
        <v>45888</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25362-2023</t>
        </is>
      </c>
      <c r="B475" s="1" t="n">
        <v>45088.83430555555</v>
      </c>
      <c r="C475" s="1" t="n">
        <v>45888</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2603-2025</t>
        </is>
      </c>
      <c r="B476" s="1" t="n">
        <v>45674</v>
      </c>
      <c r="C476" s="1" t="n">
        <v>45888</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28992-2024</t>
        </is>
      </c>
      <c r="B477" s="1" t="n">
        <v>45481.49289351852</v>
      </c>
      <c r="C477" s="1" t="n">
        <v>45888</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47456-2022</t>
        </is>
      </c>
      <c r="B478" s="1" t="n">
        <v>44852</v>
      </c>
      <c r="C478" s="1" t="n">
        <v>45888</v>
      </c>
      <c r="D478" t="inlineStr">
        <is>
          <t>SÖDERMANLANDS LÄN</t>
        </is>
      </c>
      <c r="E478" t="inlineStr">
        <is>
          <t>KATRINEHOLM</t>
        </is>
      </c>
      <c r="G478" t="n">
        <v>3.7</v>
      </c>
      <c r="H478" t="n">
        <v>0</v>
      </c>
      <c r="I478" t="n">
        <v>0</v>
      </c>
      <c r="J478" t="n">
        <v>0</v>
      </c>
      <c r="K478" t="n">
        <v>0</v>
      </c>
      <c r="L478" t="n">
        <v>0</v>
      </c>
      <c r="M478" t="n">
        <v>0</v>
      </c>
      <c r="N478" t="n">
        <v>0</v>
      </c>
      <c r="O478" t="n">
        <v>0</v>
      </c>
      <c r="P478" t="n">
        <v>0</v>
      </c>
      <c r="Q478" t="n">
        <v>0</v>
      </c>
      <c r="R478" s="2" t="inlineStr"/>
    </row>
    <row r="479" ht="15" customHeight="1">
      <c r="A479" t="inlineStr">
        <is>
          <t>A 25433-2024</t>
        </is>
      </c>
      <c r="B479" s="1" t="n">
        <v>45463</v>
      </c>
      <c r="C479" s="1" t="n">
        <v>45888</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4656-2023</t>
        </is>
      </c>
      <c r="B480" s="1" t="n">
        <v>44957</v>
      </c>
      <c r="C480" s="1" t="n">
        <v>45888</v>
      </c>
      <c r="D480" t="inlineStr">
        <is>
          <t>SÖDERMANLANDS LÄN</t>
        </is>
      </c>
      <c r="E480" t="inlineStr">
        <is>
          <t>KATRINEHOLM</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49078-2024</t>
        </is>
      </c>
      <c r="B481" s="1" t="n">
        <v>45594.62556712963</v>
      </c>
      <c r="C481" s="1" t="n">
        <v>45888</v>
      </c>
      <c r="D481" t="inlineStr">
        <is>
          <t>SÖDERMANLANDS LÄN</t>
        </is>
      </c>
      <c r="E481" t="inlineStr">
        <is>
          <t>KATRINEHOLM</t>
        </is>
      </c>
      <c r="F481" t="inlineStr">
        <is>
          <t>Övriga Aktiebolag</t>
        </is>
      </c>
      <c r="G481" t="n">
        <v>0.4</v>
      </c>
      <c r="H481" t="n">
        <v>0</v>
      </c>
      <c r="I481" t="n">
        <v>0</v>
      </c>
      <c r="J481" t="n">
        <v>0</v>
      </c>
      <c r="K481" t="n">
        <v>0</v>
      </c>
      <c r="L481" t="n">
        <v>0</v>
      </c>
      <c r="M481" t="n">
        <v>0</v>
      </c>
      <c r="N481" t="n">
        <v>0</v>
      </c>
      <c r="O481" t="n">
        <v>0</v>
      </c>
      <c r="P481" t="n">
        <v>0</v>
      </c>
      <c r="Q481" t="n">
        <v>0</v>
      </c>
      <c r="R481" s="2" t="inlineStr"/>
    </row>
    <row r="482" ht="15" customHeight="1">
      <c r="A482" t="inlineStr">
        <is>
          <t>A 35188-2022</t>
        </is>
      </c>
      <c r="B482" s="1" t="n">
        <v>44797</v>
      </c>
      <c r="C482" s="1" t="n">
        <v>45888</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5327-2025</t>
        </is>
      </c>
      <c r="B483" s="1" t="n">
        <v>45692</v>
      </c>
      <c r="C483" s="1" t="n">
        <v>45888</v>
      </c>
      <c r="D483" t="inlineStr">
        <is>
          <t>SÖDERMANLANDS LÄN</t>
        </is>
      </c>
      <c r="E483" t="inlineStr">
        <is>
          <t>KATRINEHOLM</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61423-2024</t>
        </is>
      </c>
      <c r="B484" s="1" t="n">
        <v>45646.45209490741</v>
      </c>
      <c r="C484" s="1" t="n">
        <v>45888</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42111-2022</t>
        </is>
      </c>
      <c r="B485" s="1" t="n">
        <v>44830</v>
      </c>
      <c r="C485" s="1" t="n">
        <v>45888</v>
      </c>
      <c r="D485" t="inlineStr">
        <is>
          <t>SÖDERMANLANDS LÄN</t>
        </is>
      </c>
      <c r="E485" t="inlineStr">
        <is>
          <t>KATRINEHOLM</t>
        </is>
      </c>
      <c r="G485" t="n">
        <v>2.5</v>
      </c>
      <c r="H485" t="n">
        <v>0</v>
      </c>
      <c r="I485" t="n">
        <v>0</v>
      </c>
      <c r="J485" t="n">
        <v>0</v>
      </c>
      <c r="K485" t="n">
        <v>0</v>
      </c>
      <c r="L485" t="n">
        <v>0</v>
      </c>
      <c r="M485" t="n">
        <v>0</v>
      </c>
      <c r="N485" t="n">
        <v>0</v>
      </c>
      <c r="O485" t="n">
        <v>0</v>
      </c>
      <c r="P485" t="n">
        <v>0</v>
      </c>
      <c r="Q485" t="n">
        <v>0</v>
      </c>
      <c r="R485" s="2" t="inlineStr"/>
    </row>
    <row r="486" ht="15" customHeight="1">
      <c r="A486" t="inlineStr">
        <is>
          <t>A 24596-2025</t>
        </is>
      </c>
      <c r="B486" s="1" t="n">
        <v>45798.5558912037</v>
      </c>
      <c r="C486" s="1" t="n">
        <v>45888</v>
      </c>
      <c r="D486" t="inlineStr">
        <is>
          <t>SÖDERMANLANDS LÄN</t>
        </is>
      </c>
      <c r="E486" t="inlineStr">
        <is>
          <t>KATRINEHOLM</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24605-2025</t>
        </is>
      </c>
      <c r="B487" s="1" t="n">
        <v>45798.57403935185</v>
      </c>
      <c r="C487" s="1" t="n">
        <v>45888</v>
      </c>
      <c r="D487" t="inlineStr">
        <is>
          <t>SÖDERMANLANDS LÄN</t>
        </is>
      </c>
      <c r="E487" t="inlineStr">
        <is>
          <t>KATRINEHOLM</t>
        </is>
      </c>
      <c r="G487" t="n">
        <v>7</v>
      </c>
      <c r="H487" t="n">
        <v>0</v>
      </c>
      <c r="I487" t="n">
        <v>0</v>
      </c>
      <c r="J487" t="n">
        <v>0</v>
      </c>
      <c r="K487" t="n">
        <v>0</v>
      </c>
      <c r="L487" t="n">
        <v>0</v>
      </c>
      <c r="M487" t="n">
        <v>0</v>
      </c>
      <c r="N487" t="n">
        <v>0</v>
      </c>
      <c r="O487" t="n">
        <v>0</v>
      </c>
      <c r="P487" t="n">
        <v>0</v>
      </c>
      <c r="Q487" t="n">
        <v>0</v>
      </c>
      <c r="R487" s="2" t="inlineStr"/>
    </row>
    <row r="488" ht="15" customHeight="1">
      <c r="A488" t="inlineStr">
        <is>
          <t>A 53999-2023</t>
        </is>
      </c>
      <c r="B488" s="1" t="n">
        <v>45231</v>
      </c>
      <c r="C488" s="1" t="n">
        <v>45888</v>
      </c>
      <c r="D488" t="inlineStr">
        <is>
          <t>SÖDERMANLANDS LÄN</t>
        </is>
      </c>
      <c r="E488" t="inlineStr">
        <is>
          <t>KATRINEHOLM</t>
        </is>
      </c>
      <c r="G488" t="n">
        <v>5.4</v>
      </c>
      <c r="H488" t="n">
        <v>0</v>
      </c>
      <c r="I488" t="n">
        <v>0</v>
      </c>
      <c r="J488" t="n">
        <v>0</v>
      </c>
      <c r="K488" t="n">
        <v>0</v>
      </c>
      <c r="L488" t="n">
        <v>0</v>
      </c>
      <c r="M488" t="n">
        <v>0</v>
      </c>
      <c r="N488" t="n">
        <v>0</v>
      </c>
      <c r="O488" t="n">
        <v>0</v>
      </c>
      <c r="P488" t="n">
        <v>0</v>
      </c>
      <c r="Q488" t="n">
        <v>0</v>
      </c>
      <c r="R488" s="2" t="inlineStr"/>
    </row>
    <row r="489" ht="15" customHeight="1">
      <c r="A489" t="inlineStr">
        <is>
          <t>A 41727-2024</t>
        </is>
      </c>
      <c r="B489" s="1" t="n">
        <v>45560</v>
      </c>
      <c r="C489" s="1" t="n">
        <v>45888</v>
      </c>
      <c r="D489" t="inlineStr">
        <is>
          <t>SÖDERMANLANDS LÄN</t>
        </is>
      </c>
      <c r="E489" t="inlineStr">
        <is>
          <t>KATRINEHOLM</t>
        </is>
      </c>
      <c r="G489" t="n">
        <v>3.9</v>
      </c>
      <c r="H489" t="n">
        <v>0</v>
      </c>
      <c r="I489" t="n">
        <v>0</v>
      </c>
      <c r="J489" t="n">
        <v>0</v>
      </c>
      <c r="K489" t="n">
        <v>0</v>
      </c>
      <c r="L489" t="n">
        <v>0</v>
      </c>
      <c r="M489" t="n">
        <v>0</v>
      </c>
      <c r="N489" t="n">
        <v>0</v>
      </c>
      <c r="O489" t="n">
        <v>0</v>
      </c>
      <c r="P489" t="n">
        <v>0</v>
      </c>
      <c r="Q489" t="n">
        <v>0</v>
      </c>
      <c r="R489" s="2" t="inlineStr"/>
    </row>
    <row r="490" ht="15" customHeight="1">
      <c r="A490" t="inlineStr">
        <is>
          <t>A 36021-2023</t>
        </is>
      </c>
      <c r="B490" s="1" t="n">
        <v>45148</v>
      </c>
      <c r="C490" s="1" t="n">
        <v>45888</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24566-2025</t>
        </is>
      </c>
      <c r="B491" s="1" t="n">
        <v>45798.46452546296</v>
      </c>
      <c r="C491" s="1" t="n">
        <v>45888</v>
      </c>
      <c r="D491" t="inlineStr">
        <is>
          <t>SÖDERMANLANDS LÄN</t>
        </is>
      </c>
      <c r="E491" t="inlineStr">
        <is>
          <t>KATRINEHOLM</t>
        </is>
      </c>
      <c r="G491" t="n">
        <v>6.3</v>
      </c>
      <c r="H491" t="n">
        <v>0</v>
      </c>
      <c r="I491" t="n">
        <v>0</v>
      </c>
      <c r="J491" t="n">
        <v>0</v>
      </c>
      <c r="K491" t="n">
        <v>0</v>
      </c>
      <c r="L491" t="n">
        <v>0</v>
      </c>
      <c r="M491" t="n">
        <v>0</v>
      </c>
      <c r="N491" t="n">
        <v>0</v>
      </c>
      <c r="O491" t="n">
        <v>0</v>
      </c>
      <c r="P491" t="n">
        <v>0</v>
      </c>
      <c r="Q491" t="n">
        <v>0</v>
      </c>
      <c r="R491" s="2" t="inlineStr"/>
    </row>
    <row r="492" ht="15" customHeight="1">
      <c r="A492" t="inlineStr">
        <is>
          <t>A 56086-2023</t>
        </is>
      </c>
      <c r="B492" s="1" t="n">
        <v>45240</v>
      </c>
      <c r="C492" s="1" t="n">
        <v>45888</v>
      </c>
      <c r="D492" t="inlineStr">
        <is>
          <t>SÖDERMANLANDS LÄN</t>
        </is>
      </c>
      <c r="E492" t="inlineStr">
        <is>
          <t>KATRINEHOLM</t>
        </is>
      </c>
      <c r="F492" t="inlineStr">
        <is>
          <t>Kyrkan</t>
        </is>
      </c>
      <c r="G492" t="n">
        <v>17</v>
      </c>
      <c r="H492" t="n">
        <v>0</v>
      </c>
      <c r="I492" t="n">
        <v>0</v>
      </c>
      <c r="J492" t="n">
        <v>0</v>
      </c>
      <c r="K492" t="n">
        <v>0</v>
      </c>
      <c r="L492" t="n">
        <v>0</v>
      </c>
      <c r="M492" t="n">
        <v>0</v>
      </c>
      <c r="N492" t="n">
        <v>0</v>
      </c>
      <c r="O492" t="n">
        <v>0</v>
      </c>
      <c r="P492" t="n">
        <v>0</v>
      </c>
      <c r="Q492" t="n">
        <v>0</v>
      </c>
      <c r="R492" s="2" t="inlineStr"/>
    </row>
    <row r="493" ht="15" customHeight="1">
      <c r="A493" t="inlineStr">
        <is>
          <t>A 6175-2023</t>
        </is>
      </c>
      <c r="B493" s="1" t="n">
        <v>44964</v>
      </c>
      <c r="C493" s="1" t="n">
        <v>45888</v>
      </c>
      <c r="D493" t="inlineStr">
        <is>
          <t>SÖDERMANLANDS LÄN</t>
        </is>
      </c>
      <c r="E493" t="inlineStr">
        <is>
          <t>KATRINEHOLM</t>
        </is>
      </c>
      <c r="G493" t="n">
        <v>11.2</v>
      </c>
      <c r="H493" t="n">
        <v>0</v>
      </c>
      <c r="I493" t="n">
        <v>0</v>
      </c>
      <c r="J493" t="n">
        <v>0</v>
      </c>
      <c r="K493" t="n">
        <v>0</v>
      </c>
      <c r="L493" t="n">
        <v>0</v>
      </c>
      <c r="M493" t="n">
        <v>0</v>
      </c>
      <c r="N493" t="n">
        <v>0</v>
      </c>
      <c r="O493" t="n">
        <v>0</v>
      </c>
      <c r="P493" t="n">
        <v>0</v>
      </c>
      <c r="Q493" t="n">
        <v>0</v>
      </c>
      <c r="R493" s="2" t="inlineStr"/>
    </row>
    <row r="494" ht="15" customHeight="1">
      <c r="A494" t="inlineStr">
        <is>
          <t>A 24719-2025</t>
        </is>
      </c>
      <c r="B494" s="1" t="n">
        <v>45799</v>
      </c>
      <c r="C494" s="1" t="n">
        <v>45888</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4655-2024</t>
        </is>
      </c>
      <c r="B495" s="1" t="n">
        <v>45328</v>
      </c>
      <c r="C495" s="1" t="n">
        <v>45888</v>
      </c>
      <c r="D495" t="inlineStr">
        <is>
          <t>SÖDERMANLANDS LÄN</t>
        </is>
      </c>
      <c r="E495" t="inlineStr">
        <is>
          <t>KATRINEHOLM</t>
        </is>
      </c>
      <c r="G495" t="n">
        <v>17.7</v>
      </c>
      <c r="H495" t="n">
        <v>0</v>
      </c>
      <c r="I495" t="n">
        <v>0</v>
      </c>
      <c r="J495" t="n">
        <v>0</v>
      </c>
      <c r="K495" t="n">
        <v>0</v>
      </c>
      <c r="L495" t="n">
        <v>0</v>
      </c>
      <c r="M495" t="n">
        <v>0</v>
      </c>
      <c r="N495" t="n">
        <v>0</v>
      </c>
      <c r="O495" t="n">
        <v>0</v>
      </c>
      <c r="P495" t="n">
        <v>0</v>
      </c>
      <c r="Q495" t="n">
        <v>0</v>
      </c>
      <c r="R495" s="2" t="inlineStr"/>
    </row>
    <row r="496" ht="15" customHeight="1">
      <c r="A496" t="inlineStr">
        <is>
          <t>A 24717-2025</t>
        </is>
      </c>
      <c r="B496" s="1" t="n">
        <v>45799.27168981481</v>
      </c>
      <c r="C496" s="1" t="n">
        <v>45888</v>
      </c>
      <c r="D496" t="inlineStr">
        <is>
          <t>SÖDERMANLANDS LÄN</t>
        </is>
      </c>
      <c r="E496" t="inlineStr">
        <is>
          <t>KATRINEHOLM</t>
        </is>
      </c>
      <c r="G496" t="n">
        <v>24.5</v>
      </c>
      <c r="H496" t="n">
        <v>0</v>
      </c>
      <c r="I496" t="n">
        <v>0</v>
      </c>
      <c r="J496" t="n">
        <v>0</v>
      </c>
      <c r="K496" t="n">
        <v>0</v>
      </c>
      <c r="L496" t="n">
        <v>0</v>
      </c>
      <c r="M496" t="n">
        <v>0</v>
      </c>
      <c r="N496" t="n">
        <v>0</v>
      </c>
      <c r="O496" t="n">
        <v>0</v>
      </c>
      <c r="P496" t="n">
        <v>0</v>
      </c>
      <c r="Q496" t="n">
        <v>0</v>
      </c>
      <c r="R496" s="2" t="inlineStr"/>
    </row>
    <row r="497" ht="15" customHeight="1">
      <c r="A497" t="inlineStr">
        <is>
          <t>A 46830-2020</t>
        </is>
      </c>
      <c r="B497" s="1" t="n">
        <v>44089</v>
      </c>
      <c r="C497" s="1" t="n">
        <v>45888</v>
      </c>
      <c r="D497" t="inlineStr">
        <is>
          <t>SÖDERMANLANDS LÄN</t>
        </is>
      </c>
      <c r="E497" t="inlineStr">
        <is>
          <t>KATRINEHOLM</t>
        </is>
      </c>
      <c r="G497" t="n">
        <v>1.1</v>
      </c>
      <c r="H497" t="n">
        <v>0</v>
      </c>
      <c r="I497" t="n">
        <v>0</v>
      </c>
      <c r="J497" t="n">
        <v>0</v>
      </c>
      <c r="K497" t="n">
        <v>0</v>
      </c>
      <c r="L497" t="n">
        <v>0</v>
      </c>
      <c r="M497" t="n">
        <v>0</v>
      </c>
      <c r="N497" t="n">
        <v>0</v>
      </c>
      <c r="O497" t="n">
        <v>0</v>
      </c>
      <c r="P497" t="n">
        <v>0</v>
      </c>
      <c r="Q497" t="n">
        <v>0</v>
      </c>
      <c r="R497" s="2" t="inlineStr"/>
    </row>
    <row r="498" ht="15" customHeight="1">
      <c r="A498" t="inlineStr">
        <is>
          <t>A 50316-2023</t>
        </is>
      </c>
      <c r="B498" s="1" t="n">
        <v>45209</v>
      </c>
      <c r="C498" s="1" t="n">
        <v>45888</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51404-2023</t>
        </is>
      </c>
      <c r="B499" s="1" t="n">
        <v>45214</v>
      </c>
      <c r="C499" s="1" t="n">
        <v>45888</v>
      </c>
      <c r="D499" t="inlineStr">
        <is>
          <t>SÖDERMANLANDS LÄN</t>
        </is>
      </c>
      <c r="E499" t="inlineStr">
        <is>
          <t>KATRINEHOLM</t>
        </is>
      </c>
      <c r="G499" t="n">
        <v>9</v>
      </c>
      <c r="H499" t="n">
        <v>0</v>
      </c>
      <c r="I499" t="n">
        <v>0</v>
      </c>
      <c r="J499" t="n">
        <v>0</v>
      </c>
      <c r="K499" t="n">
        <v>0</v>
      </c>
      <c r="L499" t="n">
        <v>0</v>
      </c>
      <c r="M499" t="n">
        <v>0</v>
      </c>
      <c r="N499" t="n">
        <v>0</v>
      </c>
      <c r="O499" t="n">
        <v>0</v>
      </c>
      <c r="P499" t="n">
        <v>0</v>
      </c>
      <c r="Q499" t="n">
        <v>0</v>
      </c>
      <c r="R499" s="2" t="inlineStr"/>
    </row>
    <row r="500" ht="15" customHeight="1">
      <c r="A500" t="inlineStr">
        <is>
          <t>A 25786-2025</t>
        </is>
      </c>
      <c r="B500" s="1" t="n">
        <v>45804.37456018518</v>
      </c>
      <c r="C500" s="1" t="n">
        <v>45888</v>
      </c>
      <c r="D500" t="inlineStr">
        <is>
          <t>SÖDERMANLANDS LÄN</t>
        </is>
      </c>
      <c r="E500" t="inlineStr">
        <is>
          <t>KATRINEHOLM</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40402-2022</t>
        </is>
      </c>
      <c r="B501" s="1" t="n">
        <v>44823.44353009259</v>
      </c>
      <c r="C501" s="1" t="n">
        <v>45888</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26154-2025</t>
        </is>
      </c>
      <c r="B502" s="1" t="n">
        <v>45805.43341435185</v>
      </c>
      <c r="C502" s="1" t="n">
        <v>45888</v>
      </c>
      <c r="D502" t="inlineStr">
        <is>
          <t>SÖDERMANLANDS LÄN</t>
        </is>
      </c>
      <c r="E502" t="inlineStr">
        <is>
          <t>KATRINEHOLM</t>
        </is>
      </c>
      <c r="G502" t="n">
        <v>4.5</v>
      </c>
      <c r="H502" t="n">
        <v>0</v>
      </c>
      <c r="I502" t="n">
        <v>0</v>
      </c>
      <c r="J502" t="n">
        <v>0</v>
      </c>
      <c r="K502" t="n">
        <v>0</v>
      </c>
      <c r="L502" t="n">
        <v>0</v>
      </c>
      <c r="M502" t="n">
        <v>0</v>
      </c>
      <c r="N502" t="n">
        <v>0</v>
      </c>
      <c r="O502" t="n">
        <v>0</v>
      </c>
      <c r="P502" t="n">
        <v>0</v>
      </c>
      <c r="Q502" t="n">
        <v>0</v>
      </c>
      <c r="R502" s="2" t="inlineStr"/>
    </row>
    <row r="503" ht="15" customHeight="1">
      <c r="A503" t="inlineStr">
        <is>
          <t>A 27334-2023</t>
        </is>
      </c>
      <c r="B503" s="1" t="n">
        <v>45096</v>
      </c>
      <c r="C503" s="1" t="n">
        <v>45888</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15898-2022</t>
        </is>
      </c>
      <c r="B504" s="1" t="n">
        <v>44664.55688657407</v>
      </c>
      <c r="C504" s="1" t="n">
        <v>45888</v>
      </c>
      <c r="D504" t="inlineStr">
        <is>
          <t>SÖDERMANLANDS LÄN</t>
        </is>
      </c>
      <c r="E504" t="inlineStr">
        <is>
          <t>KATRINEHOLM</t>
        </is>
      </c>
      <c r="G504" t="n">
        <v>6.5</v>
      </c>
      <c r="H504" t="n">
        <v>0</v>
      </c>
      <c r="I504" t="n">
        <v>0</v>
      </c>
      <c r="J504" t="n">
        <v>0</v>
      </c>
      <c r="K504" t="n">
        <v>0</v>
      </c>
      <c r="L504" t="n">
        <v>0</v>
      </c>
      <c r="M504" t="n">
        <v>0</v>
      </c>
      <c r="N504" t="n">
        <v>0</v>
      </c>
      <c r="O504" t="n">
        <v>0</v>
      </c>
      <c r="P504" t="n">
        <v>0</v>
      </c>
      <c r="Q504" t="n">
        <v>0</v>
      </c>
      <c r="R504" s="2" t="inlineStr"/>
    </row>
    <row r="505" ht="15" customHeight="1">
      <c r="A505" t="inlineStr">
        <is>
          <t>A 26684-2025</t>
        </is>
      </c>
      <c r="B505" s="1" t="n">
        <v>45810</v>
      </c>
      <c r="C505" s="1" t="n">
        <v>45888</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15910-2022</t>
        </is>
      </c>
      <c r="B506" s="1" t="n">
        <v>44664</v>
      </c>
      <c r="C506" s="1" t="n">
        <v>45888</v>
      </c>
      <c r="D506" t="inlineStr">
        <is>
          <t>SÖDERMANLANDS LÄN</t>
        </is>
      </c>
      <c r="E506" t="inlineStr">
        <is>
          <t>KATRINEHOLM</t>
        </is>
      </c>
      <c r="G506" t="n">
        <v>5.6</v>
      </c>
      <c r="H506" t="n">
        <v>0</v>
      </c>
      <c r="I506" t="n">
        <v>0</v>
      </c>
      <c r="J506" t="n">
        <v>0</v>
      </c>
      <c r="K506" t="n">
        <v>0</v>
      </c>
      <c r="L506" t="n">
        <v>0</v>
      </c>
      <c r="M506" t="n">
        <v>0</v>
      </c>
      <c r="N506" t="n">
        <v>0</v>
      </c>
      <c r="O506" t="n">
        <v>0</v>
      </c>
      <c r="P506" t="n">
        <v>0</v>
      </c>
      <c r="Q506" t="n">
        <v>0</v>
      </c>
      <c r="R506" s="2" t="inlineStr"/>
    </row>
    <row r="507" ht="15" customHeight="1">
      <c r="A507" t="inlineStr">
        <is>
          <t>A 64605-2023</t>
        </is>
      </c>
      <c r="B507" s="1" t="n">
        <v>45281</v>
      </c>
      <c r="C507" s="1" t="n">
        <v>45888</v>
      </c>
      <c r="D507" t="inlineStr">
        <is>
          <t>SÖDERMANLANDS LÄN</t>
        </is>
      </c>
      <c r="E507" t="inlineStr">
        <is>
          <t>KATRINEHOLM</t>
        </is>
      </c>
      <c r="G507" t="n">
        <v>0.5</v>
      </c>
      <c r="H507" t="n">
        <v>0</v>
      </c>
      <c r="I507" t="n">
        <v>0</v>
      </c>
      <c r="J507" t="n">
        <v>0</v>
      </c>
      <c r="K507" t="n">
        <v>0</v>
      </c>
      <c r="L507" t="n">
        <v>0</v>
      </c>
      <c r="M507" t="n">
        <v>0</v>
      </c>
      <c r="N507" t="n">
        <v>0</v>
      </c>
      <c r="O507" t="n">
        <v>0</v>
      </c>
      <c r="P507" t="n">
        <v>0</v>
      </c>
      <c r="Q507" t="n">
        <v>0</v>
      </c>
      <c r="R507" s="2" t="inlineStr"/>
    </row>
    <row r="508" ht="15" customHeight="1">
      <c r="A508" t="inlineStr">
        <is>
          <t>A 64652-2023</t>
        </is>
      </c>
      <c r="B508" s="1" t="n">
        <v>45281</v>
      </c>
      <c r="C508" s="1" t="n">
        <v>45888</v>
      </c>
      <c r="D508" t="inlineStr">
        <is>
          <t>SÖDERMANLANDS LÄN</t>
        </is>
      </c>
      <c r="E508" t="inlineStr">
        <is>
          <t>KATRINEHOLM</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55074-2020</t>
        </is>
      </c>
      <c r="B509" s="1" t="n">
        <v>44130</v>
      </c>
      <c r="C509" s="1" t="n">
        <v>45888</v>
      </c>
      <c r="D509" t="inlineStr">
        <is>
          <t>SÖDERMANLANDS LÄN</t>
        </is>
      </c>
      <c r="E509" t="inlineStr">
        <is>
          <t>KATRINEHOLM</t>
        </is>
      </c>
      <c r="G509" t="n">
        <v>2.9</v>
      </c>
      <c r="H509" t="n">
        <v>0</v>
      </c>
      <c r="I509" t="n">
        <v>0</v>
      </c>
      <c r="J509" t="n">
        <v>0</v>
      </c>
      <c r="K509" t="n">
        <v>0</v>
      </c>
      <c r="L509" t="n">
        <v>0</v>
      </c>
      <c r="M509" t="n">
        <v>0</v>
      </c>
      <c r="N509" t="n">
        <v>0</v>
      </c>
      <c r="O509" t="n">
        <v>0</v>
      </c>
      <c r="P509" t="n">
        <v>0</v>
      </c>
      <c r="Q509" t="n">
        <v>0</v>
      </c>
      <c r="R509" s="2" t="inlineStr"/>
    </row>
    <row r="510" ht="15" customHeight="1">
      <c r="A510" t="inlineStr">
        <is>
          <t>A 55079-2020</t>
        </is>
      </c>
      <c r="B510" s="1" t="n">
        <v>44130.46172453704</v>
      </c>
      <c r="C510" s="1" t="n">
        <v>45888</v>
      </c>
      <c r="D510" t="inlineStr">
        <is>
          <t>SÖDERMANLANDS LÄN</t>
        </is>
      </c>
      <c r="E510" t="inlineStr">
        <is>
          <t>KATRINEHOLM</t>
        </is>
      </c>
      <c r="G510" t="n">
        <v>2.7</v>
      </c>
      <c r="H510" t="n">
        <v>0</v>
      </c>
      <c r="I510" t="n">
        <v>0</v>
      </c>
      <c r="J510" t="n">
        <v>0</v>
      </c>
      <c r="K510" t="n">
        <v>0</v>
      </c>
      <c r="L510" t="n">
        <v>0</v>
      </c>
      <c r="M510" t="n">
        <v>0</v>
      </c>
      <c r="N510" t="n">
        <v>0</v>
      </c>
      <c r="O510" t="n">
        <v>0</v>
      </c>
      <c r="P510" t="n">
        <v>0</v>
      </c>
      <c r="Q510" t="n">
        <v>0</v>
      </c>
      <c r="R510" s="2" t="inlineStr"/>
    </row>
    <row r="511" ht="15" customHeight="1">
      <c r="A511" t="inlineStr">
        <is>
          <t>A 26156-2025</t>
        </is>
      </c>
      <c r="B511" s="1" t="n">
        <v>45805.43864583333</v>
      </c>
      <c r="C511" s="1" t="n">
        <v>45888</v>
      </c>
      <c r="D511" t="inlineStr">
        <is>
          <t>SÖDERMANLANDS LÄN</t>
        </is>
      </c>
      <c r="E511" t="inlineStr">
        <is>
          <t>KATRINEHOLM</t>
        </is>
      </c>
      <c r="G511" t="n">
        <v>4.1</v>
      </c>
      <c r="H511" t="n">
        <v>0</v>
      </c>
      <c r="I511" t="n">
        <v>0</v>
      </c>
      <c r="J511" t="n">
        <v>0</v>
      </c>
      <c r="K511" t="n">
        <v>0</v>
      </c>
      <c r="L511" t="n">
        <v>0</v>
      </c>
      <c r="M511" t="n">
        <v>0</v>
      </c>
      <c r="N511" t="n">
        <v>0</v>
      </c>
      <c r="O511" t="n">
        <v>0</v>
      </c>
      <c r="P511" t="n">
        <v>0</v>
      </c>
      <c r="Q511" t="n">
        <v>0</v>
      </c>
      <c r="R511" s="2" t="inlineStr"/>
    </row>
    <row r="512" ht="15" customHeight="1">
      <c r="A512" t="inlineStr">
        <is>
          <t>A 7704-2023</t>
        </is>
      </c>
      <c r="B512" s="1" t="n">
        <v>44968</v>
      </c>
      <c r="C512" s="1" t="n">
        <v>45888</v>
      </c>
      <c r="D512" t="inlineStr">
        <is>
          <t>SÖDERMANLANDS LÄN</t>
        </is>
      </c>
      <c r="E512" t="inlineStr">
        <is>
          <t>KATRINEHOLM</t>
        </is>
      </c>
      <c r="G512" t="n">
        <v>7.3</v>
      </c>
      <c r="H512" t="n">
        <v>0</v>
      </c>
      <c r="I512" t="n">
        <v>0</v>
      </c>
      <c r="J512" t="n">
        <v>0</v>
      </c>
      <c r="K512" t="n">
        <v>0</v>
      </c>
      <c r="L512" t="n">
        <v>0</v>
      </c>
      <c r="M512" t="n">
        <v>0</v>
      </c>
      <c r="N512" t="n">
        <v>0</v>
      </c>
      <c r="O512" t="n">
        <v>0</v>
      </c>
      <c r="P512" t="n">
        <v>0</v>
      </c>
      <c r="Q512" t="n">
        <v>0</v>
      </c>
      <c r="R512" s="2" t="inlineStr"/>
    </row>
    <row r="513" ht="15" customHeight="1">
      <c r="A513" t="inlineStr">
        <is>
          <t>A 58528-2024</t>
        </is>
      </c>
      <c r="B513" s="1" t="n">
        <v>45635.44527777778</v>
      </c>
      <c r="C513" s="1" t="n">
        <v>45888</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29830-2023</t>
        </is>
      </c>
      <c r="B514" s="1" t="n">
        <v>45107</v>
      </c>
      <c r="C514" s="1" t="n">
        <v>45888</v>
      </c>
      <c r="D514" t="inlineStr">
        <is>
          <t>SÖDERMANLANDS LÄN</t>
        </is>
      </c>
      <c r="E514" t="inlineStr">
        <is>
          <t>KATRINEHOLM</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28582-2024</t>
        </is>
      </c>
      <c r="B515" s="1" t="n">
        <v>45478.40751157407</v>
      </c>
      <c r="C515" s="1" t="n">
        <v>45888</v>
      </c>
      <c r="D515" t="inlineStr">
        <is>
          <t>SÖDERMANLANDS LÄN</t>
        </is>
      </c>
      <c r="E515" t="inlineStr">
        <is>
          <t>KATRINEHOLM</t>
        </is>
      </c>
      <c r="F515" t="inlineStr">
        <is>
          <t>Övriga Aktiebolag</t>
        </is>
      </c>
      <c r="G515" t="n">
        <v>4</v>
      </c>
      <c r="H515" t="n">
        <v>0</v>
      </c>
      <c r="I515" t="n">
        <v>0</v>
      </c>
      <c r="J515" t="n">
        <v>0</v>
      </c>
      <c r="K515" t="n">
        <v>0</v>
      </c>
      <c r="L515" t="n">
        <v>0</v>
      </c>
      <c r="M515" t="n">
        <v>0</v>
      </c>
      <c r="N515" t="n">
        <v>0</v>
      </c>
      <c r="O515" t="n">
        <v>0</v>
      </c>
      <c r="P515" t="n">
        <v>0</v>
      </c>
      <c r="Q515" t="n">
        <v>0</v>
      </c>
      <c r="R515" s="2" t="inlineStr"/>
    </row>
    <row r="516" ht="15" customHeight="1">
      <c r="A516" t="inlineStr">
        <is>
          <t>A 14478-2023</t>
        </is>
      </c>
      <c r="B516" s="1" t="n">
        <v>45012.66421296296</v>
      </c>
      <c r="C516" s="1" t="n">
        <v>45888</v>
      </c>
      <c r="D516" t="inlineStr">
        <is>
          <t>SÖDERMANLANDS LÄN</t>
        </is>
      </c>
      <c r="E516" t="inlineStr">
        <is>
          <t>KATRINEHOLM</t>
        </is>
      </c>
      <c r="G516" t="n">
        <v>3.9</v>
      </c>
      <c r="H516" t="n">
        <v>0</v>
      </c>
      <c r="I516" t="n">
        <v>0</v>
      </c>
      <c r="J516" t="n">
        <v>0</v>
      </c>
      <c r="K516" t="n">
        <v>0</v>
      </c>
      <c r="L516" t="n">
        <v>0</v>
      </c>
      <c r="M516" t="n">
        <v>0</v>
      </c>
      <c r="N516" t="n">
        <v>0</v>
      </c>
      <c r="O516" t="n">
        <v>0</v>
      </c>
      <c r="P516" t="n">
        <v>0</v>
      </c>
      <c r="Q516" t="n">
        <v>0</v>
      </c>
      <c r="R516" s="2" t="inlineStr"/>
    </row>
    <row r="517" ht="15" customHeight="1">
      <c r="A517" t="inlineStr">
        <is>
          <t>A 29394-2024</t>
        </is>
      </c>
      <c r="B517" s="1" t="n">
        <v>45483</v>
      </c>
      <c r="C517" s="1" t="n">
        <v>45888</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39055-2022</t>
        </is>
      </c>
      <c r="B518" s="1" t="n">
        <v>44817</v>
      </c>
      <c r="C518" s="1" t="n">
        <v>45888</v>
      </c>
      <c r="D518" t="inlineStr">
        <is>
          <t>SÖDERMANLANDS LÄN</t>
        </is>
      </c>
      <c r="E518" t="inlineStr">
        <is>
          <t>KATRINEHOLM</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46011-2021</t>
        </is>
      </c>
      <c r="B519" s="1" t="n">
        <v>44441.88092592593</v>
      </c>
      <c r="C519" s="1" t="n">
        <v>45888</v>
      </c>
      <c r="D519" t="inlineStr">
        <is>
          <t>SÖDERMANLANDS LÄN</t>
        </is>
      </c>
      <c r="E519" t="inlineStr">
        <is>
          <t>KATRINEHOLM</t>
        </is>
      </c>
      <c r="G519" t="n">
        <v>4.7</v>
      </c>
      <c r="H519" t="n">
        <v>0</v>
      </c>
      <c r="I519" t="n">
        <v>0</v>
      </c>
      <c r="J519" t="n">
        <v>0</v>
      </c>
      <c r="K519" t="n">
        <v>0</v>
      </c>
      <c r="L519" t="n">
        <v>0</v>
      </c>
      <c r="M519" t="n">
        <v>0</v>
      </c>
      <c r="N519" t="n">
        <v>0</v>
      </c>
      <c r="O519" t="n">
        <v>0</v>
      </c>
      <c r="P519" t="n">
        <v>0</v>
      </c>
      <c r="Q519" t="n">
        <v>0</v>
      </c>
      <c r="R519" s="2" t="inlineStr"/>
    </row>
    <row r="520" ht="15" customHeight="1">
      <c r="A520" t="inlineStr">
        <is>
          <t>A 7056-2022</t>
        </is>
      </c>
      <c r="B520" s="1" t="n">
        <v>44603</v>
      </c>
      <c r="C520" s="1" t="n">
        <v>45888</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50021-2023</t>
        </is>
      </c>
      <c r="B521" s="1" t="n">
        <v>45215</v>
      </c>
      <c r="C521" s="1" t="n">
        <v>45888</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12937-2023</t>
        </is>
      </c>
      <c r="B522" s="1" t="n">
        <v>45001</v>
      </c>
      <c r="C522" s="1" t="n">
        <v>45888</v>
      </c>
      <c r="D522" t="inlineStr">
        <is>
          <t>SÖDERMANLANDS LÄN</t>
        </is>
      </c>
      <c r="E522" t="inlineStr">
        <is>
          <t>KATRINEHOLM</t>
        </is>
      </c>
      <c r="G522" t="n">
        <v>0.9</v>
      </c>
      <c r="H522" t="n">
        <v>0</v>
      </c>
      <c r="I522" t="n">
        <v>0</v>
      </c>
      <c r="J522" t="n">
        <v>0</v>
      </c>
      <c r="K522" t="n">
        <v>0</v>
      </c>
      <c r="L522" t="n">
        <v>0</v>
      </c>
      <c r="M522" t="n">
        <v>0</v>
      </c>
      <c r="N522" t="n">
        <v>0</v>
      </c>
      <c r="O522" t="n">
        <v>0</v>
      </c>
      <c r="P522" t="n">
        <v>0</v>
      </c>
      <c r="Q522" t="n">
        <v>0</v>
      </c>
      <c r="R522" s="2" t="inlineStr"/>
    </row>
    <row r="523" ht="15" customHeight="1">
      <c r="A523" t="inlineStr">
        <is>
          <t>A 35160-2025</t>
        </is>
      </c>
      <c r="B523" s="1" t="n">
        <v>45852.70430555556</v>
      </c>
      <c r="C523" s="1" t="n">
        <v>45888</v>
      </c>
      <c r="D523" t="inlineStr">
        <is>
          <t>SÖDERMANLANDS LÄN</t>
        </is>
      </c>
      <c r="E523" t="inlineStr">
        <is>
          <t>KATRINEHOLM</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35165-2025</t>
        </is>
      </c>
      <c r="B524" s="1" t="n">
        <v>45852.72320601852</v>
      </c>
      <c r="C524" s="1" t="n">
        <v>45888</v>
      </c>
      <c r="D524" t="inlineStr">
        <is>
          <t>SÖDERMANLANDS LÄN</t>
        </is>
      </c>
      <c r="E524" t="inlineStr">
        <is>
          <t>KATRINEHOLM</t>
        </is>
      </c>
      <c r="F524" t="inlineStr">
        <is>
          <t>Övriga Aktiebolag</t>
        </is>
      </c>
      <c r="G524" t="n">
        <v>20.7</v>
      </c>
      <c r="H524" t="n">
        <v>0</v>
      </c>
      <c r="I524" t="n">
        <v>0</v>
      </c>
      <c r="J524" t="n">
        <v>0</v>
      </c>
      <c r="K524" t="n">
        <v>0</v>
      </c>
      <c r="L524" t="n">
        <v>0</v>
      </c>
      <c r="M524" t="n">
        <v>0</v>
      </c>
      <c r="N524" t="n">
        <v>0</v>
      </c>
      <c r="O524" t="n">
        <v>0</v>
      </c>
      <c r="P524" t="n">
        <v>0</v>
      </c>
      <c r="Q524" t="n">
        <v>0</v>
      </c>
      <c r="R524" s="2" t="inlineStr"/>
    </row>
    <row r="525" ht="15" customHeight="1">
      <c r="A525" t="inlineStr">
        <is>
          <t>A 42284-2020</t>
        </is>
      </c>
      <c r="B525" s="1" t="n">
        <v>44074</v>
      </c>
      <c r="C525" s="1" t="n">
        <v>45888</v>
      </c>
      <c r="D525" t="inlineStr">
        <is>
          <t>SÖDERMANLANDS LÄN</t>
        </is>
      </c>
      <c r="E525" t="inlineStr">
        <is>
          <t>KATRINEHOLM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30387-2022</t>
        </is>
      </c>
      <c r="B526" s="1" t="n">
        <v>44760</v>
      </c>
      <c r="C526" s="1" t="n">
        <v>45888</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42896-2024</t>
        </is>
      </c>
      <c r="B527" s="1" t="n">
        <v>45566.82973379629</v>
      </c>
      <c r="C527" s="1" t="n">
        <v>45888</v>
      </c>
      <c r="D527" t="inlineStr">
        <is>
          <t>SÖDERMANLANDS LÄN</t>
        </is>
      </c>
      <c r="E527" t="inlineStr">
        <is>
          <t>KATRINEHOLM</t>
        </is>
      </c>
      <c r="G527" t="n">
        <v>4.3</v>
      </c>
      <c r="H527" t="n">
        <v>0</v>
      </c>
      <c r="I527" t="n">
        <v>0</v>
      </c>
      <c r="J527" t="n">
        <v>0</v>
      </c>
      <c r="K527" t="n">
        <v>0</v>
      </c>
      <c r="L527" t="n">
        <v>0</v>
      </c>
      <c r="M527" t="n">
        <v>0</v>
      </c>
      <c r="N527" t="n">
        <v>0</v>
      </c>
      <c r="O527" t="n">
        <v>0</v>
      </c>
      <c r="P527" t="n">
        <v>0</v>
      </c>
      <c r="Q527" t="n">
        <v>0</v>
      </c>
      <c r="R527" s="2" t="inlineStr"/>
    </row>
    <row r="528" ht="15" customHeight="1">
      <c r="A528" t="inlineStr">
        <is>
          <t>A 35161-2025</t>
        </is>
      </c>
      <c r="B528" s="1" t="n">
        <v>45852.70716435185</v>
      </c>
      <c r="C528" s="1" t="n">
        <v>45888</v>
      </c>
      <c r="D528" t="inlineStr">
        <is>
          <t>SÖDERMANLANDS LÄN</t>
        </is>
      </c>
      <c r="E528" t="inlineStr">
        <is>
          <t>KATRINEHOLM</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48834-2020</t>
        </is>
      </c>
      <c r="B529" s="1" t="n">
        <v>44099</v>
      </c>
      <c r="C529" s="1" t="n">
        <v>45888</v>
      </c>
      <c r="D529" t="inlineStr">
        <is>
          <t>SÖDERMANLANDS LÄN</t>
        </is>
      </c>
      <c r="E529" t="inlineStr">
        <is>
          <t>KATRINEHOLM</t>
        </is>
      </c>
      <c r="G529" t="n">
        <v>12.9</v>
      </c>
      <c r="H529" t="n">
        <v>0</v>
      </c>
      <c r="I529" t="n">
        <v>0</v>
      </c>
      <c r="J529" t="n">
        <v>0</v>
      </c>
      <c r="K529" t="n">
        <v>0</v>
      </c>
      <c r="L529" t="n">
        <v>0</v>
      </c>
      <c r="M529" t="n">
        <v>0</v>
      </c>
      <c r="N529" t="n">
        <v>0</v>
      </c>
      <c r="O529" t="n">
        <v>0</v>
      </c>
      <c r="P529" t="n">
        <v>0</v>
      </c>
      <c r="Q529" t="n">
        <v>0</v>
      </c>
      <c r="R529" s="2" t="inlineStr"/>
    </row>
    <row r="530" ht="15" customHeight="1">
      <c r="A530" t="inlineStr">
        <is>
          <t>A 29008-2024</t>
        </is>
      </c>
      <c r="B530" s="1" t="n">
        <v>45481</v>
      </c>
      <c r="C530" s="1" t="n">
        <v>45888</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62419-2023</t>
        </is>
      </c>
      <c r="B531" s="1" t="n">
        <v>45268</v>
      </c>
      <c r="C531" s="1" t="n">
        <v>45888</v>
      </c>
      <c r="D531" t="inlineStr">
        <is>
          <t>SÖDERMANLANDS LÄN</t>
        </is>
      </c>
      <c r="E531" t="inlineStr">
        <is>
          <t>KATRINEHOLM</t>
        </is>
      </c>
      <c r="G531" t="n">
        <v>9</v>
      </c>
      <c r="H531" t="n">
        <v>0</v>
      </c>
      <c r="I531" t="n">
        <v>0</v>
      </c>
      <c r="J531" t="n">
        <v>0</v>
      </c>
      <c r="K531" t="n">
        <v>0</v>
      </c>
      <c r="L531" t="n">
        <v>0</v>
      </c>
      <c r="M531" t="n">
        <v>0</v>
      </c>
      <c r="N531" t="n">
        <v>0</v>
      </c>
      <c r="O531" t="n">
        <v>0</v>
      </c>
      <c r="P531" t="n">
        <v>0</v>
      </c>
      <c r="Q531" t="n">
        <v>0</v>
      </c>
      <c r="R531" s="2" t="inlineStr"/>
    </row>
    <row r="532" ht="15" customHeight="1">
      <c r="A532" t="inlineStr">
        <is>
          <t>A 61394-2024</t>
        </is>
      </c>
      <c r="B532" s="1" t="n">
        <v>45646.42061342593</v>
      </c>
      <c r="C532" s="1" t="n">
        <v>45888</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931-2023</t>
        </is>
      </c>
      <c r="B533" s="1" t="n">
        <v>44932.74261574074</v>
      </c>
      <c r="C533" s="1" t="n">
        <v>45888</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38883-2024</t>
        </is>
      </c>
      <c r="B534" s="1" t="n">
        <v>45547</v>
      </c>
      <c r="C534" s="1" t="n">
        <v>45888</v>
      </c>
      <c r="D534" t="inlineStr">
        <is>
          <t>SÖDERMANLANDS LÄN</t>
        </is>
      </c>
      <c r="E534" t="inlineStr">
        <is>
          <t>KATRINEHOLM</t>
        </is>
      </c>
      <c r="G534" t="n">
        <v>3.1</v>
      </c>
      <c r="H534" t="n">
        <v>0</v>
      </c>
      <c r="I534" t="n">
        <v>0</v>
      </c>
      <c r="J534" t="n">
        <v>0</v>
      </c>
      <c r="K534" t="n">
        <v>0</v>
      </c>
      <c r="L534" t="n">
        <v>0</v>
      </c>
      <c r="M534" t="n">
        <v>0</v>
      </c>
      <c r="N534" t="n">
        <v>0</v>
      </c>
      <c r="O534" t="n">
        <v>0</v>
      </c>
      <c r="P534" t="n">
        <v>0</v>
      </c>
      <c r="Q534" t="n">
        <v>0</v>
      </c>
      <c r="R534" s="2" t="inlineStr"/>
    </row>
    <row r="535" ht="15" customHeight="1">
      <c r="A535" t="inlineStr">
        <is>
          <t>A 6796-2022</t>
        </is>
      </c>
      <c r="B535" s="1" t="n">
        <v>44602</v>
      </c>
      <c r="C535" s="1" t="n">
        <v>45888</v>
      </c>
      <c r="D535" t="inlineStr">
        <is>
          <t>SÖDERMANLANDS LÄN</t>
        </is>
      </c>
      <c r="E535" t="inlineStr">
        <is>
          <t>KATRINEHOLM</t>
        </is>
      </c>
      <c r="G535" t="n">
        <v>1.2</v>
      </c>
      <c r="H535" t="n">
        <v>0</v>
      </c>
      <c r="I535" t="n">
        <v>0</v>
      </c>
      <c r="J535" t="n">
        <v>0</v>
      </c>
      <c r="K535" t="n">
        <v>0</v>
      </c>
      <c r="L535" t="n">
        <v>0</v>
      </c>
      <c r="M535" t="n">
        <v>0</v>
      </c>
      <c r="N535" t="n">
        <v>0</v>
      </c>
      <c r="O535" t="n">
        <v>0</v>
      </c>
      <c r="P535" t="n">
        <v>0</v>
      </c>
      <c r="Q535" t="n">
        <v>0</v>
      </c>
      <c r="R535" s="2" t="inlineStr"/>
    </row>
    <row r="536" ht="15" customHeight="1">
      <c r="A536" t="inlineStr">
        <is>
          <t>A 52857-2021</t>
        </is>
      </c>
      <c r="B536" s="1" t="n">
        <v>44466</v>
      </c>
      <c r="C536" s="1" t="n">
        <v>45888</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53722-2023</t>
        </is>
      </c>
      <c r="B537" s="1" t="n">
        <v>45230</v>
      </c>
      <c r="C537" s="1" t="n">
        <v>45888</v>
      </c>
      <c r="D537" t="inlineStr">
        <is>
          <t>SÖDERMANLANDS LÄN</t>
        </is>
      </c>
      <c r="E537" t="inlineStr">
        <is>
          <t>KATRINEHOLM</t>
        </is>
      </c>
      <c r="F537" t="inlineStr">
        <is>
          <t>Allmännings- och besparingsskogar</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42015-2022</t>
        </is>
      </c>
      <c r="B538" s="1" t="n">
        <v>44830.4649074074</v>
      </c>
      <c r="C538" s="1" t="n">
        <v>45888</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42020-2022</t>
        </is>
      </c>
      <c r="B539" s="1" t="n">
        <v>44830.46849537037</v>
      </c>
      <c r="C539" s="1" t="n">
        <v>45888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8394-2024</t>
        </is>
      </c>
      <c r="B540" s="1" t="n">
        <v>45352</v>
      </c>
      <c r="C540" s="1" t="n">
        <v>45888</v>
      </c>
      <c r="D540" t="inlineStr">
        <is>
          <t>SÖDERMANLANDS LÄN</t>
        </is>
      </c>
      <c r="E540" t="inlineStr">
        <is>
          <t>KATRINEHOLM</t>
        </is>
      </c>
      <c r="G540" t="n">
        <v>4</v>
      </c>
      <c r="H540" t="n">
        <v>0</v>
      </c>
      <c r="I540" t="n">
        <v>0</v>
      </c>
      <c r="J540" t="n">
        <v>0</v>
      </c>
      <c r="K540" t="n">
        <v>0</v>
      </c>
      <c r="L540" t="n">
        <v>0</v>
      </c>
      <c r="M540" t="n">
        <v>0</v>
      </c>
      <c r="N540" t="n">
        <v>0</v>
      </c>
      <c r="O540" t="n">
        <v>0</v>
      </c>
      <c r="P540" t="n">
        <v>0</v>
      </c>
      <c r="Q540" t="n">
        <v>0</v>
      </c>
      <c r="R540" s="2" t="inlineStr"/>
    </row>
    <row r="541" ht="15" customHeight="1">
      <c r="A541" t="inlineStr">
        <is>
          <t>A 14239-2024</t>
        </is>
      </c>
      <c r="B541" s="1" t="n">
        <v>45393</v>
      </c>
      <c r="C541" s="1" t="n">
        <v>45888</v>
      </c>
      <c r="D541" t="inlineStr">
        <is>
          <t>SÖDERMANLANDS LÄN</t>
        </is>
      </c>
      <c r="E541" t="inlineStr">
        <is>
          <t>KATRINEHOLM</t>
        </is>
      </c>
      <c r="G541" t="n">
        <v>2.7</v>
      </c>
      <c r="H541" t="n">
        <v>0</v>
      </c>
      <c r="I541" t="n">
        <v>0</v>
      </c>
      <c r="J541" t="n">
        <v>0</v>
      </c>
      <c r="K541" t="n">
        <v>0</v>
      </c>
      <c r="L541" t="n">
        <v>0</v>
      </c>
      <c r="M541" t="n">
        <v>0</v>
      </c>
      <c r="N541" t="n">
        <v>0</v>
      </c>
      <c r="O541" t="n">
        <v>0</v>
      </c>
      <c r="P541" t="n">
        <v>0</v>
      </c>
      <c r="Q541" t="n">
        <v>0</v>
      </c>
      <c r="R541" s="2" t="inlineStr"/>
    </row>
    <row r="542" ht="15" customHeight="1">
      <c r="A542" t="inlineStr">
        <is>
          <t>A 14248-2024</t>
        </is>
      </c>
      <c r="B542" s="1" t="n">
        <v>45393</v>
      </c>
      <c r="C542" s="1" t="n">
        <v>45888</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25716-2022</t>
        </is>
      </c>
      <c r="B543" s="1" t="n">
        <v>44733.39600694444</v>
      </c>
      <c r="C543" s="1" t="n">
        <v>45888</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23842-2023</t>
        </is>
      </c>
      <c r="B544" s="1" t="n">
        <v>45075</v>
      </c>
      <c r="C544" s="1" t="n">
        <v>45888</v>
      </c>
      <c r="D544" t="inlineStr">
        <is>
          <t>SÖDERMANLANDS LÄN</t>
        </is>
      </c>
      <c r="E544" t="inlineStr">
        <is>
          <t>KATRINEHOLM</t>
        </is>
      </c>
      <c r="G544" t="n">
        <v>1.8</v>
      </c>
      <c r="H544" t="n">
        <v>0</v>
      </c>
      <c r="I544" t="n">
        <v>0</v>
      </c>
      <c r="J544" t="n">
        <v>0</v>
      </c>
      <c r="K544" t="n">
        <v>0</v>
      </c>
      <c r="L544" t="n">
        <v>0</v>
      </c>
      <c r="M544" t="n">
        <v>0</v>
      </c>
      <c r="N544" t="n">
        <v>0</v>
      </c>
      <c r="O544" t="n">
        <v>0</v>
      </c>
      <c r="P544" t="n">
        <v>0</v>
      </c>
      <c r="Q544" t="n">
        <v>0</v>
      </c>
      <c r="R544" s="2" t="inlineStr"/>
    </row>
    <row r="545" ht="15" customHeight="1">
      <c r="A545" t="inlineStr">
        <is>
          <t>A 46700-2023</t>
        </is>
      </c>
      <c r="B545" s="1" t="n">
        <v>45194</v>
      </c>
      <c r="C545" s="1" t="n">
        <v>45888</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35156-2025</t>
        </is>
      </c>
      <c r="B546" s="1" t="n">
        <v>45852</v>
      </c>
      <c r="C546" s="1" t="n">
        <v>45888</v>
      </c>
      <c r="D546" t="inlineStr">
        <is>
          <t>SÖDERMANLANDS LÄN</t>
        </is>
      </c>
      <c r="E546" t="inlineStr">
        <is>
          <t>KATRINEHOLM</t>
        </is>
      </c>
      <c r="G546" t="n">
        <v>5.7</v>
      </c>
      <c r="H546" t="n">
        <v>0</v>
      </c>
      <c r="I546" t="n">
        <v>0</v>
      </c>
      <c r="J546" t="n">
        <v>0</v>
      </c>
      <c r="K546" t="n">
        <v>0</v>
      </c>
      <c r="L546" t="n">
        <v>0</v>
      </c>
      <c r="M546" t="n">
        <v>0</v>
      </c>
      <c r="N546" t="n">
        <v>0</v>
      </c>
      <c r="O546" t="n">
        <v>0</v>
      </c>
      <c r="P546" t="n">
        <v>0</v>
      </c>
      <c r="Q546" t="n">
        <v>0</v>
      </c>
      <c r="R546" s="2" t="inlineStr"/>
    </row>
    <row r="547" ht="15" customHeight="1">
      <c r="A547" t="inlineStr">
        <is>
          <t>A 25428-2024</t>
        </is>
      </c>
      <c r="B547" s="1" t="n">
        <v>45463</v>
      </c>
      <c r="C547" s="1" t="n">
        <v>45888</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44024-2021</t>
        </is>
      </c>
      <c r="B548" s="1" t="n">
        <v>44434</v>
      </c>
      <c r="C548" s="1" t="n">
        <v>45888</v>
      </c>
      <c r="D548" t="inlineStr">
        <is>
          <t>SÖDERMANLANDS LÄN</t>
        </is>
      </c>
      <c r="E548" t="inlineStr">
        <is>
          <t>KATRINEHOLM</t>
        </is>
      </c>
      <c r="G548" t="n">
        <v>13</v>
      </c>
      <c r="H548" t="n">
        <v>0</v>
      </c>
      <c r="I548" t="n">
        <v>0</v>
      </c>
      <c r="J548" t="n">
        <v>0</v>
      </c>
      <c r="K548" t="n">
        <v>0</v>
      </c>
      <c r="L548" t="n">
        <v>0</v>
      </c>
      <c r="M548" t="n">
        <v>0</v>
      </c>
      <c r="N548" t="n">
        <v>0</v>
      </c>
      <c r="O548" t="n">
        <v>0</v>
      </c>
      <c r="P548" t="n">
        <v>0</v>
      </c>
      <c r="Q548" t="n">
        <v>0</v>
      </c>
      <c r="R548" s="2" t="inlineStr"/>
    </row>
    <row r="549" ht="15" customHeight="1">
      <c r="A549" t="inlineStr">
        <is>
          <t>A 27552-2025</t>
        </is>
      </c>
      <c r="B549" s="1" t="n">
        <v>45813</v>
      </c>
      <c r="C549" s="1" t="n">
        <v>45888</v>
      </c>
      <c r="D549" t="inlineStr">
        <is>
          <t>SÖDERMANLANDS LÄN</t>
        </is>
      </c>
      <c r="E549" t="inlineStr">
        <is>
          <t>KATRINEHOLM</t>
        </is>
      </c>
      <c r="G549" t="n">
        <v>0.7</v>
      </c>
      <c r="H549" t="n">
        <v>0</v>
      </c>
      <c r="I549" t="n">
        <v>0</v>
      </c>
      <c r="J549" t="n">
        <v>0</v>
      </c>
      <c r="K549" t="n">
        <v>0</v>
      </c>
      <c r="L549" t="n">
        <v>0</v>
      </c>
      <c r="M549" t="n">
        <v>0</v>
      </c>
      <c r="N549" t="n">
        <v>0</v>
      </c>
      <c r="O549" t="n">
        <v>0</v>
      </c>
      <c r="P549" t="n">
        <v>0</v>
      </c>
      <c r="Q549" t="n">
        <v>0</v>
      </c>
      <c r="R549" s="2" t="inlineStr"/>
    </row>
    <row r="550" ht="15" customHeight="1">
      <c r="A550" t="inlineStr">
        <is>
          <t>A 27534-2025</t>
        </is>
      </c>
      <c r="B550" s="1" t="n">
        <v>45813</v>
      </c>
      <c r="C550" s="1" t="n">
        <v>45888</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27636-2025</t>
        </is>
      </c>
      <c r="B551" s="1" t="n">
        <v>45813.57603009259</v>
      </c>
      <c r="C551" s="1" t="n">
        <v>45888</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35149-2025</t>
        </is>
      </c>
      <c r="B552" s="1" t="n">
        <v>45852</v>
      </c>
      <c r="C552" s="1" t="n">
        <v>45888</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35152-2025</t>
        </is>
      </c>
      <c r="B553" s="1" t="n">
        <v>45852</v>
      </c>
      <c r="C553" s="1" t="n">
        <v>45888</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38869-2024</t>
        </is>
      </c>
      <c r="B554" s="1" t="n">
        <v>45547</v>
      </c>
      <c r="C554" s="1" t="n">
        <v>45888</v>
      </c>
      <c r="D554" t="inlineStr">
        <is>
          <t>SÖDERMANLANDS LÄN</t>
        </is>
      </c>
      <c r="E554" t="inlineStr">
        <is>
          <t>KATRINEHOLM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20214-2025</t>
        </is>
      </c>
      <c r="B555" s="1" t="n">
        <v>45772.63540509259</v>
      </c>
      <c r="C555" s="1" t="n">
        <v>45888</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62140-2022</t>
        </is>
      </c>
      <c r="B556" s="1" t="n">
        <v>44922</v>
      </c>
      <c r="C556" s="1" t="n">
        <v>45888</v>
      </c>
      <c r="D556" t="inlineStr">
        <is>
          <t>SÖDERMANLANDS LÄN</t>
        </is>
      </c>
      <c r="E556" t="inlineStr">
        <is>
          <t>KATRINEHOLM</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35145-2025</t>
        </is>
      </c>
      <c r="B557" s="1" t="n">
        <v>45852</v>
      </c>
      <c r="C557" s="1" t="n">
        <v>45888</v>
      </c>
      <c r="D557" t="inlineStr">
        <is>
          <t>SÖDERMANLANDS LÄN</t>
        </is>
      </c>
      <c r="E557" t="inlineStr">
        <is>
          <t>KATRINEHOLM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35157-2025</t>
        </is>
      </c>
      <c r="B558" s="1" t="n">
        <v>45852</v>
      </c>
      <c r="C558" s="1" t="n">
        <v>45888</v>
      </c>
      <c r="D558" t="inlineStr">
        <is>
          <t>SÖDERMANLANDS LÄN</t>
        </is>
      </c>
      <c r="E558" t="inlineStr">
        <is>
          <t>KATRINEHOLM</t>
        </is>
      </c>
      <c r="G558" t="n">
        <v>3.7</v>
      </c>
      <c r="H558" t="n">
        <v>0</v>
      </c>
      <c r="I558" t="n">
        <v>0</v>
      </c>
      <c r="J558" t="n">
        <v>0</v>
      </c>
      <c r="K558" t="n">
        <v>0</v>
      </c>
      <c r="L558" t="n">
        <v>0</v>
      </c>
      <c r="M558" t="n">
        <v>0</v>
      </c>
      <c r="N558" t="n">
        <v>0</v>
      </c>
      <c r="O558" t="n">
        <v>0</v>
      </c>
      <c r="P558" t="n">
        <v>0</v>
      </c>
      <c r="Q558" t="n">
        <v>0</v>
      </c>
      <c r="R558" s="2" t="inlineStr"/>
    </row>
    <row r="559" ht="15" customHeight="1">
      <c r="A559" t="inlineStr">
        <is>
          <t>A 35158-2025</t>
        </is>
      </c>
      <c r="B559" s="1" t="n">
        <v>45852</v>
      </c>
      <c r="C559" s="1" t="n">
        <v>45888</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27375-2024</t>
        </is>
      </c>
      <c r="B560" s="1" t="n">
        <v>45473.87645833333</v>
      </c>
      <c r="C560" s="1" t="n">
        <v>45888</v>
      </c>
      <c r="D560" t="inlineStr">
        <is>
          <t>SÖDERMANLANDS LÄN</t>
        </is>
      </c>
      <c r="E560" t="inlineStr">
        <is>
          <t>KATRINEHOLM</t>
        </is>
      </c>
      <c r="F560" t="inlineStr">
        <is>
          <t>Kommuner</t>
        </is>
      </c>
      <c r="G560" t="n">
        <v>1.9</v>
      </c>
      <c r="H560" t="n">
        <v>0</v>
      </c>
      <c r="I560" t="n">
        <v>0</v>
      </c>
      <c r="J560" t="n">
        <v>0</v>
      </c>
      <c r="K560" t="n">
        <v>0</v>
      </c>
      <c r="L560" t="n">
        <v>0</v>
      </c>
      <c r="M560" t="n">
        <v>0</v>
      </c>
      <c r="N560" t="n">
        <v>0</v>
      </c>
      <c r="O560" t="n">
        <v>0</v>
      </c>
      <c r="P560" t="n">
        <v>0</v>
      </c>
      <c r="Q560" t="n">
        <v>0</v>
      </c>
      <c r="R560" s="2" t="inlineStr"/>
    </row>
    <row r="561" ht="15" customHeight="1">
      <c r="A561" t="inlineStr">
        <is>
          <t>A 7867-2024</t>
        </is>
      </c>
      <c r="B561" s="1" t="n">
        <v>45350.32991898148</v>
      </c>
      <c r="C561" s="1" t="n">
        <v>45888</v>
      </c>
      <c r="D561" t="inlineStr">
        <is>
          <t>SÖDERMANLANDS LÄN</t>
        </is>
      </c>
      <c r="E561" t="inlineStr">
        <is>
          <t>KATRINEHOLM</t>
        </is>
      </c>
      <c r="F561" t="inlineStr">
        <is>
          <t>Kyrkan</t>
        </is>
      </c>
      <c r="G561" t="n">
        <v>3.3</v>
      </c>
      <c r="H561" t="n">
        <v>0</v>
      </c>
      <c r="I561" t="n">
        <v>0</v>
      </c>
      <c r="J561" t="n">
        <v>0</v>
      </c>
      <c r="K561" t="n">
        <v>0</v>
      </c>
      <c r="L561" t="n">
        <v>0</v>
      </c>
      <c r="M561" t="n">
        <v>0</v>
      </c>
      <c r="N561" t="n">
        <v>0</v>
      </c>
      <c r="O561" t="n">
        <v>0</v>
      </c>
      <c r="P561" t="n">
        <v>0</v>
      </c>
      <c r="Q561" t="n">
        <v>0</v>
      </c>
      <c r="R561" s="2" t="inlineStr"/>
    </row>
    <row r="562" ht="15" customHeight="1">
      <c r="A562" t="inlineStr">
        <is>
          <t>A 8957-2024</t>
        </is>
      </c>
      <c r="B562" s="1" t="n">
        <v>45357.45089120371</v>
      </c>
      <c r="C562" s="1" t="n">
        <v>45888</v>
      </c>
      <c r="D562" t="inlineStr">
        <is>
          <t>SÖDERMANLANDS LÄN</t>
        </is>
      </c>
      <c r="E562" t="inlineStr">
        <is>
          <t>KATRINEHOLM</t>
        </is>
      </c>
      <c r="G562" t="n">
        <v>3.6</v>
      </c>
      <c r="H562" t="n">
        <v>0</v>
      </c>
      <c r="I562" t="n">
        <v>0</v>
      </c>
      <c r="J562" t="n">
        <v>0</v>
      </c>
      <c r="K562" t="n">
        <v>0</v>
      </c>
      <c r="L562" t="n">
        <v>0</v>
      </c>
      <c r="M562" t="n">
        <v>0</v>
      </c>
      <c r="N562" t="n">
        <v>0</v>
      </c>
      <c r="O562" t="n">
        <v>0</v>
      </c>
      <c r="P562" t="n">
        <v>0</v>
      </c>
      <c r="Q562" t="n">
        <v>0</v>
      </c>
      <c r="R562" s="2" t="inlineStr"/>
    </row>
    <row r="563" ht="15" customHeight="1">
      <c r="A563" t="inlineStr">
        <is>
          <t>A 50032-2022</t>
        </is>
      </c>
      <c r="B563" s="1" t="n">
        <v>44860</v>
      </c>
      <c r="C563" s="1" t="n">
        <v>45888</v>
      </c>
      <c r="D563" t="inlineStr">
        <is>
          <t>SÖDERMANLANDS LÄN</t>
        </is>
      </c>
      <c r="E563" t="inlineStr">
        <is>
          <t>KATRINEHOLM</t>
        </is>
      </c>
      <c r="G563" t="n">
        <v>7.5</v>
      </c>
      <c r="H563" t="n">
        <v>0</v>
      </c>
      <c r="I563" t="n">
        <v>0</v>
      </c>
      <c r="J563" t="n">
        <v>0</v>
      </c>
      <c r="K563" t="n">
        <v>0</v>
      </c>
      <c r="L563" t="n">
        <v>0</v>
      </c>
      <c r="M563" t="n">
        <v>0</v>
      </c>
      <c r="N563" t="n">
        <v>0</v>
      </c>
      <c r="O563" t="n">
        <v>0</v>
      </c>
      <c r="P563" t="n">
        <v>0</v>
      </c>
      <c r="Q563" t="n">
        <v>0</v>
      </c>
      <c r="R563" s="2" t="inlineStr"/>
    </row>
    <row r="564" ht="15" customHeight="1">
      <c r="A564" t="inlineStr">
        <is>
          <t>A 50804-2023</t>
        </is>
      </c>
      <c r="B564" s="1" t="n">
        <v>45211</v>
      </c>
      <c r="C564" s="1" t="n">
        <v>45888</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29502-2023</t>
        </is>
      </c>
      <c r="B565" s="1" t="n">
        <v>45106</v>
      </c>
      <c r="C565" s="1" t="n">
        <v>45888</v>
      </c>
      <c r="D565" t="inlineStr">
        <is>
          <t>SÖDERMANLANDS LÄN</t>
        </is>
      </c>
      <c r="E565" t="inlineStr">
        <is>
          <t>KATRINEHOLM</t>
        </is>
      </c>
      <c r="G565" t="n">
        <v>2.3</v>
      </c>
      <c r="H565" t="n">
        <v>0</v>
      </c>
      <c r="I565" t="n">
        <v>0</v>
      </c>
      <c r="J565" t="n">
        <v>0</v>
      </c>
      <c r="K565" t="n">
        <v>0</v>
      </c>
      <c r="L565" t="n">
        <v>0</v>
      </c>
      <c r="M565" t="n">
        <v>0</v>
      </c>
      <c r="N565" t="n">
        <v>0</v>
      </c>
      <c r="O565" t="n">
        <v>0</v>
      </c>
      <c r="P565" t="n">
        <v>0</v>
      </c>
      <c r="Q565" t="n">
        <v>0</v>
      </c>
      <c r="R565" s="2" t="inlineStr"/>
    </row>
    <row r="566" ht="15" customHeight="1">
      <c r="A566" t="inlineStr">
        <is>
          <t>A 56074-2022</t>
        </is>
      </c>
      <c r="B566" s="1" t="n">
        <v>44889</v>
      </c>
      <c r="C566" s="1" t="n">
        <v>45888</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c r="T566">
        <f>HYPERLINK("https://klasma.github.io/Logging_0483/kartor/A 56074-2022 karta.png", "A 56074-2022")</f>
        <v/>
      </c>
      <c r="V566">
        <f>HYPERLINK("https://klasma.github.io/Logging_0483/klagomål/A 56074-2022 FSC-klagomål.docx", "A 56074-2022")</f>
        <v/>
      </c>
      <c r="W566">
        <f>HYPERLINK("https://klasma.github.io/Logging_0483/klagomålsmail/A 56074-2022 FSC-klagomål mail.docx", "A 56074-2022")</f>
        <v/>
      </c>
      <c r="X566">
        <f>HYPERLINK("https://klasma.github.io/Logging_0483/tillsyn/A 56074-2022 tillsynsbegäran.docx", "A 56074-2022")</f>
        <v/>
      </c>
      <c r="Y566">
        <f>HYPERLINK("https://klasma.github.io/Logging_0483/tillsynsmail/A 56074-2022 tillsynsbegäran mail.docx", "A 56074-2022")</f>
        <v/>
      </c>
    </row>
    <row r="567" ht="15" customHeight="1">
      <c r="A567" t="inlineStr">
        <is>
          <t>A 23341-2023</t>
        </is>
      </c>
      <c r="B567" s="1" t="n">
        <v>45076</v>
      </c>
      <c r="C567" s="1" t="n">
        <v>45888</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8922-2024</t>
        </is>
      </c>
      <c r="B568" s="1" t="n">
        <v>45357.38601851852</v>
      </c>
      <c r="C568" s="1" t="n">
        <v>45888</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24600-2025</t>
        </is>
      </c>
      <c r="B569" s="1" t="n">
        <v>45798.56348379629</v>
      </c>
      <c r="C569" s="1" t="n">
        <v>45888</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45376-2022</t>
        </is>
      </c>
      <c r="B570" s="1" t="n">
        <v>44844</v>
      </c>
      <c r="C570" s="1" t="n">
        <v>45888</v>
      </c>
      <c r="D570" t="inlineStr">
        <is>
          <t>SÖDERMANLANDS LÄN</t>
        </is>
      </c>
      <c r="E570" t="inlineStr">
        <is>
          <t>KATRINEHOLM</t>
        </is>
      </c>
      <c r="G570" t="n">
        <v>4.7</v>
      </c>
      <c r="H570" t="n">
        <v>0</v>
      </c>
      <c r="I570" t="n">
        <v>0</v>
      </c>
      <c r="J570" t="n">
        <v>0</v>
      </c>
      <c r="K570" t="n">
        <v>0</v>
      </c>
      <c r="L570" t="n">
        <v>0</v>
      </c>
      <c r="M570" t="n">
        <v>0</v>
      </c>
      <c r="N570" t="n">
        <v>0</v>
      </c>
      <c r="O570" t="n">
        <v>0</v>
      </c>
      <c r="P570" t="n">
        <v>0</v>
      </c>
      <c r="Q570" t="n">
        <v>0</v>
      </c>
      <c r="R570" s="2" t="inlineStr"/>
    </row>
    <row r="571" ht="15" customHeight="1">
      <c r="A571" t="inlineStr">
        <is>
          <t>A 39748-2022</t>
        </is>
      </c>
      <c r="B571" s="1" t="n">
        <v>44817</v>
      </c>
      <c r="C571" s="1" t="n">
        <v>45888</v>
      </c>
      <c r="D571" t="inlineStr">
        <is>
          <t>SÖDERMANLANDS LÄN</t>
        </is>
      </c>
      <c r="E571" t="inlineStr">
        <is>
          <t>KATRINEHOLM</t>
        </is>
      </c>
      <c r="G571" t="n">
        <v>10.2</v>
      </c>
      <c r="H571" t="n">
        <v>0</v>
      </c>
      <c r="I571" t="n">
        <v>0</v>
      </c>
      <c r="J571" t="n">
        <v>0</v>
      </c>
      <c r="K571" t="n">
        <v>0</v>
      </c>
      <c r="L571" t="n">
        <v>0</v>
      </c>
      <c r="M571" t="n">
        <v>0</v>
      </c>
      <c r="N571" t="n">
        <v>0</v>
      </c>
      <c r="O571" t="n">
        <v>0</v>
      </c>
      <c r="P571" t="n">
        <v>0</v>
      </c>
      <c r="Q571" t="n">
        <v>0</v>
      </c>
      <c r="R571" s="2" t="inlineStr"/>
    </row>
    <row r="572" ht="15" customHeight="1">
      <c r="A572" t="inlineStr">
        <is>
          <t>A 51218-2020</t>
        </is>
      </c>
      <c r="B572" s="1" t="n">
        <v>44112</v>
      </c>
      <c r="C572" s="1" t="n">
        <v>45888</v>
      </c>
      <c r="D572" t="inlineStr">
        <is>
          <t>SÖDERMANLANDS LÄN</t>
        </is>
      </c>
      <c r="E572" t="inlineStr">
        <is>
          <t>KATRINEHOLM</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35608-2024</t>
        </is>
      </c>
      <c r="B573" s="1" t="n">
        <v>45531</v>
      </c>
      <c r="C573" s="1" t="n">
        <v>45888</v>
      </c>
      <c r="D573" t="inlineStr">
        <is>
          <t>SÖDERMANLANDS LÄN</t>
        </is>
      </c>
      <c r="E573" t="inlineStr">
        <is>
          <t>KATRINEHOLM</t>
        </is>
      </c>
      <c r="G573" t="n">
        <v>2</v>
      </c>
      <c r="H573" t="n">
        <v>0</v>
      </c>
      <c r="I573" t="n">
        <v>0</v>
      </c>
      <c r="J573" t="n">
        <v>0</v>
      </c>
      <c r="K573" t="n">
        <v>0</v>
      </c>
      <c r="L573" t="n">
        <v>0</v>
      </c>
      <c r="M573" t="n">
        <v>0</v>
      </c>
      <c r="N573" t="n">
        <v>0</v>
      </c>
      <c r="O573" t="n">
        <v>0</v>
      </c>
      <c r="P573" t="n">
        <v>0</v>
      </c>
      <c r="Q573" t="n">
        <v>0</v>
      </c>
      <c r="R573" s="2" t="inlineStr"/>
    </row>
    <row r="574" ht="15" customHeight="1">
      <c r="A574" t="inlineStr">
        <is>
          <t>A 12633-2022</t>
        </is>
      </c>
      <c r="B574" s="1" t="n">
        <v>44638</v>
      </c>
      <c r="C574" s="1" t="n">
        <v>45888</v>
      </c>
      <c r="D574" t="inlineStr">
        <is>
          <t>SÖDERMANLANDS LÄN</t>
        </is>
      </c>
      <c r="E574" t="inlineStr">
        <is>
          <t>KATRINEHOLM</t>
        </is>
      </c>
      <c r="G574" t="n">
        <v>6.4</v>
      </c>
      <c r="H574" t="n">
        <v>0</v>
      </c>
      <c r="I574" t="n">
        <v>0</v>
      </c>
      <c r="J574" t="n">
        <v>0</v>
      </c>
      <c r="K574" t="n">
        <v>0</v>
      </c>
      <c r="L574" t="n">
        <v>0</v>
      </c>
      <c r="M574" t="n">
        <v>0</v>
      </c>
      <c r="N574" t="n">
        <v>0</v>
      </c>
      <c r="O574" t="n">
        <v>0</v>
      </c>
      <c r="P574" t="n">
        <v>0</v>
      </c>
      <c r="Q574" t="n">
        <v>0</v>
      </c>
      <c r="R574" s="2" t="inlineStr"/>
    </row>
    <row r="575" ht="15" customHeight="1">
      <c r="A575" t="inlineStr">
        <is>
          <t>A 60677-2021</t>
        </is>
      </c>
      <c r="B575" s="1" t="n">
        <v>44495</v>
      </c>
      <c r="C575" s="1" t="n">
        <v>45888</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3986-2024</t>
        </is>
      </c>
      <c r="B576" s="1" t="n">
        <v>45322</v>
      </c>
      <c r="C576" s="1" t="n">
        <v>45888</v>
      </c>
      <c r="D576" t="inlineStr">
        <is>
          <t>SÖDERMANLANDS LÄN</t>
        </is>
      </c>
      <c r="E576" t="inlineStr">
        <is>
          <t>KATRINEHOLM</t>
        </is>
      </c>
      <c r="G576" t="n">
        <v>1.2</v>
      </c>
      <c r="H576" t="n">
        <v>0</v>
      </c>
      <c r="I576" t="n">
        <v>0</v>
      </c>
      <c r="J576" t="n">
        <v>0</v>
      </c>
      <c r="K576" t="n">
        <v>0</v>
      </c>
      <c r="L576" t="n">
        <v>0</v>
      </c>
      <c r="M576" t="n">
        <v>0</v>
      </c>
      <c r="N576" t="n">
        <v>0</v>
      </c>
      <c r="O576" t="n">
        <v>0</v>
      </c>
      <c r="P576" t="n">
        <v>0</v>
      </c>
      <c r="Q576" t="n">
        <v>0</v>
      </c>
      <c r="R576" s="2" t="inlineStr"/>
    </row>
    <row r="577" ht="15" customHeight="1">
      <c r="A577" t="inlineStr">
        <is>
          <t>A 3090-2025</t>
        </is>
      </c>
      <c r="B577" s="1" t="n">
        <v>45678</v>
      </c>
      <c r="C577" s="1" t="n">
        <v>45888</v>
      </c>
      <c r="D577" t="inlineStr">
        <is>
          <t>SÖDERMANLANDS LÄN</t>
        </is>
      </c>
      <c r="E577" t="inlineStr">
        <is>
          <t>KATRINEHOLM</t>
        </is>
      </c>
      <c r="F577" t="inlineStr">
        <is>
          <t>Kyrkan</t>
        </is>
      </c>
      <c r="G577" t="n">
        <v>6.9</v>
      </c>
      <c r="H577" t="n">
        <v>0</v>
      </c>
      <c r="I577" t="n">
        <v>0</v>
      </c>
      <c r="J577" t="n">
        <v>0</v>
      </c>
      <c r="K577" t="n">
        <v>0</v>
      </c>
      <c r="L577" t="n">
        <v>0</v>
      </c>
      <c r="M577" t="n">
        <v>0</v>
      </c>
      <c r="N577" t="n">
        <v>0</v>
      </c>
      <c r="O577" t="n">
        <v>0</v>
      </c>
      <c r="P577" t="n">
        <v>0</v>
      </c>
      <c r="Q577" t="n">
        <v>0</v>
      </c>
      <c r="R577" s="2" t="inlineStr"/>
    </row>
    <row r="578" ht="15" customHeight="1">
      <c r="A578" t="inlineStr">
        <is>
          <t>A 28427-2024</t>
        </is>
      </c>
      <c r="B578" s="1" t="n">
        <v>45477.64910879629</v>
      </c>
      <c r="C578" s="1" t="n">
        <v>45888</v>
      </c>
      <c r="D578" t="inlineStr">
        <is>
          <t>SÖDERMANLANDS LÄN</t>
        </is>
      </c>
      <c r="E578" t="inlineStr">
        <is>
          <t>KATRINEHOLM</t>
        </is>
      </c>
      <c r="G578" t="n">
        <v>5.9</v>
      </c>
      <c r="H578" t="n">
        <v>0</v>
      </c>
      <c r="I578" t="n">
        <v>0</v>
      </c>
      <c r="J578" t="n">
        <v>0</v>
      </c>
      <c r="K578" t="n">
        <v>0</v>
      </c>
      <c r="L578" t="n">
        <v>0</v>
      </c>
      <c r="M578" t="n">
        <v>0</v>
      </c>
      <c r="N578" t="n">
        <v>0</v>
      </c>
      <c r="O578" t="n">
        <v>0</v>
      </c>
      <c r="P578" t="n">
        <v>0</v>
      </c>
      <c r="Q578" t="n">
        <v>0</v>
      </c>
      <c r="R578" s="2" t="inlineStr"/>
    </row>
    <row r="579" ht="15" customHeight="1">
      <c r="A579" t="inlineStr">
        <is>
          <t>A 28431-2024</t>
        </is>
      </c>
      <c r="B579" s="1" t="n">
        <v>45477.65216435185</v>
      </c>
      <c r="C579" s="1" t="n">
        <v>45888</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3939-2022</t>
        </is>
      </c>
      <c r="B580" s="1" t="n">
        <v>44587</v>
      </c>
      <c r="C580" s="1" t="n">
        <v>45888</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2683-2025</t>
        </is>
      </c>
      <c r="B581" s="1" t="n">
        <v>45677</v>
      </c>
      <c r="C581" s="1" t="n">
        <v>45888</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34981-2023</t>
        </is>
      </c>
      <c r="B582" s="1" t="n">
        <v>45142</v>
      </c>
      <c r="C582" s="1" t="n">
        <v>45888</v>
      </c>
      <c r="D582" t="inlineStr">
        <is>
          <t>SÖDERMANLANDS LÄN</t>
        </is>
      </c>
      <c r="E582" t="inlineStr">
        <is>
          <t>KATRINEHOLM</t>
        </is>
      </c>
      <c r="G582" t="n">
        <v>10</v>
      </c>
      <c r="H582" t="n">
        <v>0</v>
      </c>
      <c r="I582" t="n">
        <v>0</v>
      </c>
      <c r="J582" t="n">
        <v>0</v>
      </c>
      <c r="K582" t="n">
        <v>0</v>
      </c>
      <c r="L582" t="n">
        <v>0</v>
      </c>
      <c r="M582" t="n">
        <v>0</v>
      </c>
      <c r="N582" t="n">
        <v>0</v>
      </c>
      <c r="O582" t="n">
        <v>0</v>
      </c>
      <c r="P582" t="n">
        <v>0</v>
      </c>
      <c r="Q582" t="n">
        <v>0</v>
      </c>
      <c r="R582" s="2" t="inlineStr"/>
    </row>
    <row r="583" ht="15" customHeight="1">
      <c r="A583" t="inlineStr">
        <is>
          <t>A 29189-2025</t>
        </is>
      </c>
      <c r="B583" s="1" t="n">
        <v>45822</v>
      </c>
      <c r="C583" s="1" t="n">
        <v>45888</v>
      </c>
      <c r="D583" t="inlineStr">
        <is>
          <t>SÖDERMANLANDS LÄN</t>
        </is>
      </c>
      <c r="E583" t="inlineStr">
        <is>
          <t>KATRINEHOLM</t>
        </is>
      </c>
      <c r="G583" t="n">
        <v>3.5</v>
      </c>
      <c r="H583" t="n">
        <v>0</v>
      </c>
      <c r="I583" t="n">
        <v>0</v>
      </c>
      <c r="J583" t="n">
        <v>0</v>
      </c>
      <c r="K583" t="n">
        <v>0</v>
      </c>
      <c r="L583" t="n">
        <v>0</v>
      </c>
      <c r="M583" t="n">
        <v>0</v>
      </c>
      <c r="N583" t="n">
        <v>0</v>
      </c>
      <c r="O583" t="n">
        <v>0</v>
      </c>
      <c r="P583" t="n">
        <v>0</v>
      </c>
      <c r="Q583" t="n">
        <v>0</v>
      </c>
      <c r="R583" s="2" t="inlineStr"/>
    </row>
    <row r="584" ht="15" customHeight="1">
      <c r="A584" t="inlineStr">
        <is>
          <t>A 3317-2023</t>
        </is>
      </c>
      <c r="B584" s="1" t="n">
        <v>44945</v>
      </c>
      <c r="C584" s="1" t="n">
        <v>45888</v>
      </c>
      <c r="D584" t="inlineStr">
        <is>
          <t>SÖDERMANLANDS LÄN</t>
        </is>
      </c>
      <c r="E584" t="inlineStr">
        <is>
          <t>KATRINEHOLM</t>
        </is>
      </c>
      <c r="G584" t="n">
        <v>3.2</v>
      </c>
      <c r="H584" t="n">
        <v>0</v>
      </c>
      <c r="I584" t="n">
        <v>0</v>
      </c>
      <c r="J584" t="n">
        <v>0</v>
      </c>
      <c r="K584" t="n">
        <v>0</v>
      </c>
      <c r="L584" t="n">
        <v>0</v>
      </c>
      <c r="M584" t="n">
        <v>0</v>
      </c>
      <c r="N584" t="n">
        <v>0</v>
      </c>
      <c r="O584" t="n">
        <v>0</v>
      </c>
      <c r="P584" t="n">
        <v>0</v>
      </c>
      <c r="Q584" t="n">
        <v>0</v>
      </c>
      <c r="R584" s="2" t="inlineStr"/>
    </row>
    <row r="585" ht="15" customHeight="1">
      <c r="A585" t="inlineStr">
        <is>
          <t>A 34176-2025</t>
        </is>
      </c>
      <c r="B585" s="1" t="n">
        <v>45845</v>
      </c>
      <c r="C585" s="1" t="n">
        <v>45888</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32944-2023</t>
        </is>
      </c>
      <c r="B586" s="1" t="n">
        <v>45125</v>
      </c>
      <c r="C586" s="1" t="n">
        <v>45888</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31740-2022</t>
        </is>
      </c>
      <c r="B587" s="1" t="n">
        <v>44776</v>
      </c>
      <c r="C587" s="1" t="n">
        <v>45888</v>
      </c>
      <c r="D587" t="inlineStr">
        <is>
          <t>SÖDERMANLANDS LÄN</t>
        </is>
      </c>
      <c r="E587" t="inlineStr">
        <is>
          <t>KATRINEHOLM</t>
        </is>
      </c>
      <c r="G587" t="n">
        <v>1.1</v>
      </c>
      <c r="H587" t="n">
        <v>0</v>
      </c>
      <c r="I587" t="n">
        <v>0</v>
      </c>
      <c r="J587" t="n">
        <v>0</v>
      </c>
      <c r="K587" t="n">
        <v>0</v>
      </c>
      <c r="L587" t="n">
        <v>0</v>
      </c>
      <c r="M587" t="n">
        <v>0</v>
      </c>
      <c r="N587" t="n">
        <v>0</v>
      </c>
      <c r="O587" t="n">
        <v>0</v>
      </c>
      <c r="P587" t="n">
        <v>0</v>
      </c>
      <c r="Q587" t="n">
        <v>0</v>
      </c>
      <c r="R587" s="2" t="inlineStr"/>
    </row>
    <row r="588" ht="15" customHeight="1">
      <c r="A588" t="inlineStr">
        <is>
          <t>A 29198-2023</t>
        </is>
      </c>
      <c r="B588" s="1" t="n">
        <v>45105</v>
      </c>
      <c r="C588" s="1" t="n">
        <v>45888</v>
      </c>
      <c r="D588" t="inlineStr">
        <is>
          <t>SÖDERMANLANDS LÄN</t>
        </is>
      </c>
      <c r="E588" t="inlineStr">
        <is>
          <t>KATRINEHOLM</t>
        </is>
      </c>
      <c r="F588" t="inlineStr">
        <is>
          <t>Övriga Aktiebolag</t>
        </is>
      </c>
      <c r="G588" t="n">
        <v>1</v>
      </c>
      <c r="H588" t="n">
        <v>0</v>
      </c>
      <c r="I588" t="n">
        <v>0</v>
      </c>
      <c r="J588" t="n">
        <v>0</v>
      </c>
      <c r="K588" t="n">
        <v>0</v>
      </c>
      <c r="L588" t="n">
        <v>0</v>
      </c>
      <c r="M588" t="n">
        <v>0</v>
      </c>
      <c r="N588" t="n">
        <v>0</v>
      </c>
      <c r="O588" t="n">
        <v>0</v>
      </c>
      <c r="P588" t="n">
        <v>0</v>
      </c>
      <c r="Q588" t="n">
        <v>0</v>
      </c>
      <c r="R588" s="2" t="inlineStr"/>
    </row>
    <row r="589" ht="15" customHeight="1">
      <c r="A589" t="inlineStr">
        <is>
          <t>A 56661-2021</t>
        </is>
      </c>
      <c r="B589" s="1" t="n">
        <v>44481.24327546296</v>
      </c>
      <c r="C589" s="1" t="n">
        <v>45888</v>
      </c>
      <c r="D589" t="inlineStr">
        <is>
          <t>SÖDERMANLANDS LÄN</t>
        </is>
      </c>
      <c r="E589" t="inlineStr">
        <is>
          <t>KATRINEHOLM</t>
        </is>
      </c>
      <c r="G589" t="n">
        <v>5.8</v>
      </c>
      <c r="H589" t="n">
        <v>0</v>
      </c>
      <c r="I589" t="n">
        <v>0</v>
      </c>
      <c r="J589" t="n">
        <v>0</v>
      </c>
      <c r="K589" t="n">
        <v>0</v>
      </c>
      <c r="L589" t="n">
        <v>0</v>
      </c>
      <c r="M589" t="n">
        <v>0</v>
      </c>
      <c r="N589" t="n">
        <v>0</v>
      </c>
      <c r="O589" t="n">
        <v>0</v>
      </c>
      <c r="P589" t="n">
        <v>0</v>
      </c>
      <c r="Q589" t="n">
        <v>0</v>
      </c>
      <c r="R589" s="2" t="inlineStr"/>
    </row>
    <row r="590" ht="15" customHeight="1">
      <c r="A590" t="inlineStr">
        <is>
          <t>A 53750-2022</t>
        </is>
      </c>
      <c r="B590" s="1" t="n">
        <v>44875</v>
      </c>
      <c r="C590" s="1" t="n">
        <v>45888</v>
      </c>
      <c r="D590" t="inlineStr">
        <is>
          <t>SÖDERMANLANDS LÄN</t>
        </is>
      </c>
      <c r="E590" t="inlineStr">
        <is>
          <t>KATRINEHOLM</t>
        </is>
      </c>
      <c r="F590" t="inlineStr">
        <is>
          <t>Övriga Aktiebolag</t>
        </is>
      </c>
      <c r="G590" t="n">
        <v>12.6</v>
      </c>
      <c r="H590" t="n">
        <v>0</v>
      </c>
      <c r="I590" t="n">
        <v>0</v>
      </c>
      <c r="J590" t="n">
        <v>0</v>
      </c>
      <c r="K590" t="n">
        <v>0</v>
      </c>
      <c r="L590" t="n">
        <v>0</v>
      </c>
      <c r="M590" t="n">
        <v>0</v>
      </c>
      <c r="N590" t="n">
        <v>0</v>
      </c>
      <c r="O590" t="n">
        <v>0</v>
      </c>
      <c r="P590" t="n">
        <v>0</v>
      </c>
      <c r="Q590" t="n">
        <v>0</v>
      </c>
      <c r="R590" s="2" t="inlineStr"/>
    </row>
    <row r="591" ht="15" customHeight="1">
      <c r="A591" t="inlineStr">
        <is>
          <t>A 47886-2023</t>
        </is>
      </c>
      <c r="B591" s="1" t="n">
        <v>45204</v>
      </c>
      <c r="C591" s="1" t="n">
        <v>45888</v>
      </c>
      <c r="D591" t="inlineStr">
        <is>
          <t>SÖDERMANLANDS LÄN</t>
        </is>
      </c>
      <c r="E591" t="inlineStr">
        <is>
          <t>KATRINEHOLM</t>
        </is>
      </c>
      <c r="G591" t="n">
        <v>22</v>
      </c>
      <c r="H591" t="n">
        <v>0</v>
      </c>
      <c r="I591" t="n">
        <v>0</v>
      </c>
      <c r="J591" t="n">
        <v>0</v>
      </c>
      <c r="K591" t="n">
        <v>0</v>
      </c>
      <c r="L591" t="n">
        <v>0</v>
      </c>
      <c r="M591" t="n">
        <v>0</v>
      </c>
      <c r="N591" t="n">
        <v>0</v>
      </c>
      <c r="O591" t="n">
        <v>0</v>
      </c>
      <c r="P591" t="n">
        <v>0</v>
      </c>
      <c r="Q591" t="n">
        <v>0</v>
      </c>
      <c r="R591" s="2" t="inlineStr"/>
    </row>
    <row r="592" ht="15" customHeight="1">
      <c r="A592" t="inlineStr">
        <is>
          <t>A 45246-2023</t>
        </is>
      </c>
      <c r="B592" s="1" t="n">
        <v>45191</v>
      </c>
      <c r="C592" s="1" t="n">
        <v>45888</v>
      </c>
      <c r="D592" t="inlineStr">
        <is>
          <t>SÖDERMANLANDS LÄN</t>
        </is>
      </c>
      <c r="E592" t="inlineStr">
        <is>
          <t>KATRINEHOLM</t>
        </is>
      </c>
      <c r="G592" t="n">
        <v>1.2</v>
      </c>
      <c r="H592" t="n">
        <v>0</v>
      </c>
      <c r="I592" t="n">
        <v>0</v>
      </c>
      <c r="J592" t="n">
        <v>0</v>
      </c>
      <c r="K592" t="n">
        <v>0</v>
      </c>
      <c r="L592" t="n">
        <v>0</v>
      </c>
      <c r="M592" t="n">
        <v>0</v>
      </c>
      <c r="N592" t="n">
        <v>0</v>
      </c>
      <c r="O592" t="n">
        <v>0</v>
      </c>
      <c r="P592" t="n">
        <v>0</v>
      </c>
      <c r="Q592" t="n">
        <v>0</v>
      </c>
      <c r="R592" s="2" t="inlineStr"/>
    </row>
    <row r="593" ht="15" customHeight="1">
      <c r="A593" t="inlineStr">
        <is>
          <t>A 3125-2024</t>
        </is>
      </c>
      <c r="B593" s="1" t="n">
        <v>45316</v>
      </c>
      <c r="C593" s="1" t="n">
        <v>45888</v>
      </c>
      <c r="D593" t="inlineStr">
        <is>
          <t>SÖDERMANLANDS LÄN</t>
        </is>
      </c>
      <c r="E593" t="inlineStr">
        <is>
          <t>KATRINEHOLM</t>
        </is>
      </c>
      <c r="G593" t="n">
        <v>3.4</v>
      </c>
      <c r="H593" t="n">
        <v>0</v>
      </c>
      <c r="I593" t="n">
        <v>0</v>
      </c>
      <c r="J593" t="n">
        <v>0</v>
      </c>
      <c r="K593" t="n">
        <v>0</v>
      </c>
      <c r="L593" t="n">
        <v>0</v>
      </c>
      <c r="M593" t="n">
        <v>0</v>
      </c>
      <c r="N593" t="n">
        <v>0</v>
      </c>
      <c r="O593" t="n">
        <v>0</v>
      </c>
      <c r="P593" t="n">
        <v>0</v>
      </c>
      <c r="Q593" t="n">
        <v>0</v>
      </c>
      <c r="R593" s="2" t="inlineStr"/>
    </row>
    <row r="594" ht="15" customHeight="1">
      <c r="A594" t="inlineStr">
        <is>
          <t>A 8087-2022</t>
        </is>
      </c>
      <c r="B594" s="1" t="n">
        <v>44609.53502314815</v>
      </c>
      <c r="C594" s="1" t="n">
        <v>45888</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55171-2023</t>
        </is>
      </c>
      <c r="B595" s="1" t="n">
        <v>45231</v>
      </c>
      <c r="C595" s="1" t="n">
        <v>45888</v>
      </c>
      <c r="D595" t="inlineStr">
        <is>
          <t>SÖDERMANLANDS LÄN</t>
        </is>
      </c>
      <c r="E595" t="inlineStr">
        <is>
          <t>KATRINEHOLM</t>
        </is>
      </c>
      <c r="G595" t="n">
        <v>4.2</v>
      </c>
      <c r="H595" t="n">
        <v>0</v>
      </c>
      <c r="I595" t="n">
        <v>0</v>
      </c>
      <c r="J595" t="n">
        <v>0</v>
      </c>
      <c r="K595" t="n">
        <v>0</v>
      </c>
      <c r="L595" t="n">
        <v>0</v>
      </c>
      <c r="M595" t="n">
        <v>0</v>
      </c>
      <c r="N595" t="n">
        <v>0</v>
      </c>
      <c r="O595" t="n">
        <v>0</v>
      </c>
      <c r="P595" t="n">
        <v>0</v>
      </c>
      <c r="Q595" t="n">
        <v>0</v>
      </c>
      <c r="R595" s="2" t="inlineStr"/>
    </row>
    <row r="596" ht="15" customHeight="1">
      <c r="A596" t="inlineStr">
        <is>
          <t>A 42403-2024</t>
        </is>
      </c>
      <c r="B596" s="1" t="n">
        <v>45563</v>
      </c>
      <c r="C596" s="1" t="n">
        <v>45888</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30287-2025</t>
        </is>
      </c>
      <c r="B597" s="1" t="n">
        <v>45827</v>
      </c>
      <c r="C597" s="1" t="n">
        <v>45888</v>
      </c>
      <c r="D597" t="inlineStr">
        <is>
          <t>SÖDERMANLANDS LÄN</t>
        </is>
      </c>
      <c r="E597" t="inlineStr">
        <is>
          <t>KATRINEHOLM</t>
        </is>
      </c>
      <c r="G597" t="n">
        <v>10.2</v>
      </c>
      <c r="H597" t="n">
        <v>0</v>
      </c>
      <c r="I597" t="n">
        <v>0</v>
      </c>
      <c r="J597" t="n">
        <v>0</v>
      </c>
      <c r="K597" t="n">
        <v>0</v>
      </c>
      <c r="L597" t="n">
        <v>0</v>
      </c>
      <c r="M597" t="n">
        <v>0</v>
      </c>
      <c r="N597" t="n">
        <v>0</v>
      </c>
      <c r="O597" t="n">
        <v>0</v>
      </c>
      <c r="P597" t="n">
        <v>0</v>
      </c>
      <c r="Q597" t="n">
        <v>0</v>
      </c>
      <c r="R597" s="2" t="inlineStr"/>
    </row>
    <row r="598" ht="15" customHeight="1">
      <c r="A598" t="inlineStr">
        <is>
          <t>A 27852-2023</t>
        </is>
      </c>
      <c r="B598" s="1" t="n">
        <v>45098</v>
      </c>
      <c r="C598" s="1" t="n">
        <v>45888</v>
      </c>
      <c r="D598" t="inlineStr">
        <is>
          <t>SÖDERMANLANDS LÄN</t>
        </is>
      </c>
      <c r="E598" t="inlineStr">
        <is>
          <t>KATRINEHOLM</t>
        </is>
      </c>
      <c r="G598" t="n">
        <v>7.4</v>
      </c>
      <c r="H598" t="n">
        <v>0</v>
      </c>
      <c r="I598" t="n">
        <v>0</v>
      </c>
      <c r="J598" t="n">
        <v>0</v>
      </c>
      <c r="K598" t="n">
        <v>0</v>
      </c>
      <c r="L598" t="n">
        <v>0</v>
      </c>
      <c r="M598" t="n">
        <v>0</v>
      </c>
      <c r="N598" t="n">
        <v>0</v>
      </c>
      <c r="O598" t="n">
        <v>0</v>
      </c>
      <c r="P598" t="n">
        <v>0</v>
      </c>
      <c r="Q598" t="n">
        <v>0</v>
      </c>
      <c r="R598" s="2" t="inlineStr"/>
    </row>
    <row r="599" ht="15" customHeight="1">
      <c r="A599" t="inlineStr">
        <is>
          <t>A 1143-2024</t>
        </is>
      </c>
      <c r="B599" s="1" t="n">
        <v>45302</v>
      </c>
      <c r="C599" s="1" t="n">
        <v>45888</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30352-2025</t>
        </is>
      </c>
      <c r="B600" s="1" t="n">
        <v>45827</v>
      </c>
      <c r="C600" s="1" t="n">
        <v>45888</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27376-2024</t>
        </is>
      </c>
      <c r="B601" s="1" t="n">
        <v>45473.88313657408</v>
      </c>
      <c r="C601" s="1" t="n">
        <v>45888</v>
      </c>
      <c r="D601" t="inlineStr">
        <is>
          <t>SÖDERMANLANDS LÄN</t>
        </is>
      </c>
      <c r="E601" t="inlineStr">
        <is>
          <t>KATRINEHOLM</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48097-2023</t>
        </is>
      </c>
      <c r="B602" s="1" t="n">
        <v>45205.31987268518</v>
      </c>
      <c r="C602" s="1" t="n">
        <v>45888</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30050-2025</t>
        </is>
      </c>
      <c r="B603" s="1" t="n">
        <v>45826.59151620371</v>
      </c>
      <c r="C603" s="1" t="n">
        <v>45888</v>
      </c>
      <c r="D603" t="inlineStr">
        <is>
          <t>SÖDERMANLANDS LÄN</t>
        </is>
      </c>
      <c r="E603" t="inlineStr">
        <is>
          <t>KATRINEHOLM</t>
        </is>
      </c>
      <c r="G603" t="n">
        <v>7.9</v>
      </c>
      <c r="H603" t="n">
        <v>0</v>
      </c>
      <c r="I603" t="n">
        <v>0</v>
      </c>
      <c r="J603" t="n">
        <v>0</v>
      </c>
      <c r="K603" t="n">
        <v>0</v>
      </c>
      <c r="L603" t="n">
        <v>0</v>
      </c>
      <c r="M603" t="n">
        <v>0</v>
      </c>
      <c r="N603" t="n">
        <v>0</v>
      </c>
      <c r="O603" t="n">
        <v>0</v>
      </c>
      <c r="P603" t="n">
        <v>0</v>
      </c>
      <c r="Q603" t="n">
        <v>0</v>
      </c>
      <c r="R603" s="2" t="inlineStr"/>
    </row>
    <row r="604" ht="15" customHeight="1">
      <c r="A604" t="inlineStr">
        <is>
          <t>A 30350-2025</t>
        </is>
      </c>
      <c r="B604" s="1" t="n">
        <v>45827.53319444445</v>
      </c>
      <c r="C604" s="1" t="n">
        <v>45888</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30386-2025</t>
        </is>
      </c>
      <c r="B605" s="1" t="n">
        <v>45827</v>
      </c>
      <c r="C605" s="1" t="n">
        <v>45888</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30070-2025</t>
        </is>
      </c>
      <c r="B606" s="1" t="n">
        <v>45826.63324074074</v>
      </c>
      <c r="C606" s="1" t="n">
        <v>45888</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7753-2024</t>
        </is>
      </c>
      <c r="B607" s="1" t="n">
        <v>45348</v>
      </c>
      <c r="C607" s="1" t="n">
        <v>45888</v>
      </c>
      <c r="D607" t="inlineStr">
        <is>
          <t>SÖDERMANLANDS LÄN</t>
        </is>
      </c>
      <c r="E607" t="inlineStr">
        <is>
          <t>KATRINEHOLM</t>
        </is>
      </c>
      <c r="G607" t="n">
        <v>13.4</v>
      </c>
      <c r="H607" t="n">
        <v>0</v>
      </c>
      <c r="I607" t="n">
        <v>0</v>
      </c>
      <c r="J607" t="n">
        <v>0</v>
      </c>
      <c r="K607" t="n">
        <v>0</v>
      </c>
      <c r="L607" t="n">
        <v>0</v>
      </c>
      <c r="M607" t="n">
        <v>0</v>
      </c>
      <c r="N607" t="n">
        <v>0</v>
      </c>
      <c r="O607" t="n">
        <v>0</v>
      </c>
      <c r="P607" t="n">
        <v>0</v>
      </c>
      <c r="Q607" t="n">
        <v>0</v>
      </c>
      <c r="R607" s="2" t="inlineStr"/>
    </row>
    <row r="608" ht="15" customHeight="1">
      <c r="A608" t="inlineStr">
        <is>
          <t>A 30402-2025</t>
        </is>
      </c>
      <c r="B608" s="1" t="n">
        <v>45827</v>
      </c>
      <c r="C608" s="1" t="n">
        <v>45888</v>
      </c>
      <c r="D608" t="inlineStr">
        <is>
          <t>SÖDERMANLANDS LÄN</t>
        </is>
      </c>
      <c r="E608" t="inlineStr">
        <is>
          <t>KATRINEHOLM</t>
        </is>
      </c>
      <c r="G608" t="n">
        <v>7.1</v>
      </c>
      <c r="H608" t="n">
        <v>0</v>
      </c>
      <c r="I608" t="n">
        <v>0</v>
      </c>
      <c r="J608" t="n">
        <v>0</v>
      </c>
      <c r="K608" t="n">
        <v>0</v>
      </c>
      <c r="L608" t="n">
        <v>0</v>
      </c>
      <c r="M608" t="n">
        <v>0</v>
      </c>
      <c r="N608" t="n">
        <v>0</v>
      </c>
      <c r="O608" t="n">
        <v>0</v>
      </c>
      <c r="P608" t="n">
        <v>0</v>
      </c>
      <c r="Q608" t="n">
        <v>0</v>
      </c>
      <c r="R608" s="2" t="inlineStr"/>
    </row>
    <row r="609" ht="15" customHeight="1">
      <c r="A609" t="inlineStr">
        <is>
          <t>A 61915-2021</t>
        </is>
      </c>
      <c r="B609" s="1" t="n">
        <v>44502.36780092592</v>
      </c>
      <c r="C609" s="1" t="n">
        <v>45888</v>
      </c>
      <c r="D609" t="inlineStr">
        <is>
          <t>SÖDERMANLANDS LÄN</t>
        </is>
      </c>
      <c r="E609" t="inlineStr">
        <is>
          <t>KATRINEHOLM</t>
        </is>
      </c>
      <c r="G609" t="n">
        <v>2.6</v>
      </c>
      <c r="H609" t="n">
        <v>0</v>
      </c>
      <c r="I609" t="n">
        <v>0</v>
      </c>
      <c r="J609" t="n">
        <v>0</v>
      </c>
      <c r="K609" t="n">
        <v>0</v>
      </c>
      <c r="L609" t="n">
        <v>0</v>
      </c>
      <c r="M609" t="n">
        <v>0</v>
      </c>
      <c r="N609" t="n">
        <v>0</v>
      </c>
      <c r="O609" t="n">
        <v>0</v>
      </c>
      <c r="P609" t="n">
        <v>0</v>
      </c>
      <c r="Q609" t="n">
        <v>0</v>
      </c>
      <c r="R609" s="2" t="inlineStr"/>
    </row>
    <row r="610" ht="15" customHeight="1">
      <c r="A610" t="inlineStr">
        <is>
          <t>A 55795-2023</t>
        </is>
      </c>
      <c r="B610" s="1" t="n">
        <v>45239.54861111111</v>
      </c>
      <c r="C610" s="1" t="n">
        <v>45888</v>
      </c>
      <c r="D610" t="inlineStr">
        <is>
          <t>SÖDERMANLANDS LÄN</t>
        </is>
      </c>
      <c r="E610" t="inlineStr">
        <is>
          <t>KATRINEHOLM</t>
        </is>
      </c>
      <c r="G610" t="n">
        <v>7</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44701.36431712963</v>
      </c>
      <c r="C611" s="1" t="n">
        <v>45888</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55846-2022</t>
        </is>
      </c>
      <c r="B612" s="1" t="n">
        <v>44888</v>
      </c>
      <c r="C612" s="1" t="n">
        <v>45888</v>
      </c>
      <c r="D612" t="inlineStr">
        <is>
          <t>SÖDERMANLANDS LÄN</t>
        </is>
      </c>
      <c r="E612" t="inlineStr">
        <is>
          <t>KATRINEHOLM</t>
        </is>
      </c>
      <c r="G612" t="n">
        <v>6.5</v>
      </c>
      <c r="H612" t="n">
        <v>0</v>
      </c>
      <c r="I612" t="n">
        <v>0</v>
      </c>
      <c r="J612" t="n">
        <v>0</v>
      </c>
      <c r="K612" t="n">
        <v>0</v>
      </c>
      <c r="L612" t="n">
        <v>0</v>
      </c>
      <c r="M612" t="n">
        <v>0</v>
      </c>
      <c r="N612" t="n">
        <v>0</v>
      </c>
      <c r="O612" t="n">
        <v>0</v>
      </c>
      <c r="P612" t="n">
        <v>0</v>
      </c>
      <c r="Q612" t="n">
        <v>0</v>
      </c>
      <c r="R612" s="2" t="inlineStr"/>
    </row>
    <row r="613" ht="15" customHeight="1">
      <c r="A613" t="inlineStr">
        <is>
          <t>A 36590-2025</t>
        </is>
      </c>
      <c r="B613" s="1" t="n">
        <v>45870</v>
      </c>
      <c r="C613" s="1" t="n">
        <v>45888</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44783-2020</t>
        </is>
      </c>
      <c r="B614" s="1" t="n">
        <v>44085</v>
      </c>
      <c r="C614" s="1" t="n">
        <v>45888</v>
      </c>
      <c r="D614" t="inlineStr">
        <is>
          <t>SÖDERMANLANDS LÄN</t>
        </is>
      </c>
      <c r="E614" t="inlineStr">
        <is>
          <t>KATRINEHOLM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19452-2023</t>
        </is>
      </c>
      <c r="B615" s="1" t="n">
        <v>45050</v>
      </c>
      <c r="C615" s="1" t="n">
        <v>45888</v>
      </c>
      <c r="D615" t="inlineStr">
        <is>
          <t>SÖDERMANLANDS LÄN</t>
        </is>
      </c>
      <c r="E615" t="inlineStr">
        <is>
          <t>KATRINEHOLM</t>
        </is>
      </c>
      <c r="F615" t="inlineStr">
        <is>
          <t>Holmen skog AB</t>
        </is>
      </c>
      <c r="G615" t="n">
        <v>4.7</v>
      </c>
      <c r="H615" t="n">
        <v>0</v>
      </c>
      <c r="I615" t="n">
        <v>0</v>
      </c>
      <c r="J615" t="n">
        <v>0</v>
      </c>
      <c r="K615" t="n">
        <v>0</v>
      </c>
      <c r="L615" t="n">
        <v>0</v>
      </c>
      <c r="M615" t="n">
        <v>0</v>
      </c>
      <c r="N615" t="n">
        <v>0</v>
      </c>
      <c r="O615" t="n">
        <v>0</v>
      </c>
      <c r="P615" t="n">
        <v>0</v>
      </c>
      <c r="Q615" t="n">
        <v>0</v>
      </c>
      <c r="R615" s="2" t="inlineStr"/>
    </row>
    <row r="616" ht="15" customHeight="1">
      <c r="A616" t="inlineStr">
        <is>
          <t>A 3980-2024</t>
        </is>
      </c>
      <c r="B616" s="1" t="n">
        <v>45322</v>
      </c>
      <c r="C616" s="1" t="n">
        <v>45888</v>
      </c>
      <c r="D616" t="inlineStr">
        <is>
          <t>SÖDERMANLANDS LÄN</t>
        </is>
      </c>
      <c r="E616" t="inlineStr">
        <is>
          <t>KATRINEHOLM</t>
        </is>
      </c>
      <c r="G616" t="n">
        <v>0.4</v>
      </c>
      <c r="H616" t="n">
        <v>0</v>
      </c>
      <c r="I616" t="n">
        <v>0</v>
      </c>
      <c r="J616" t="n">
        <v>0</v>
      </c>
      <c r="K616" t="n">
        <v>0</v>
      </c>
      <c r="L616" t="n">
        <v>0</v>
      </c>
      <c r="M616" t="n">
        <v>0</v>
      </c>
      <c r="N616" t="n">
        <v>0</v>
      </c>
      <c r="O616" t="n">
        <v>0</v>
      </c>
      <c r="P616" t="n">
        <v>0</v>
      </c>
      <c r="Q616" t="n">
        <v>0</v>
      </c>
      <c r="R616" s="2" t="inlineStr"/>
    </row>
    <row r="617" ht="15" customHeight="1">
      <c r="A617" t="inlineStr">
        <is>
          <t>A 31719-2024</t>
        </is>
      </c>
      <c r="B617" s="1" t="n">
        <v>45509</v>
      </c>
      <c r="C617" s="1" t="n">
        <v>45888</v>
      </c>
      <c r="D617" t="inlineStr">
        <is>
          <t>SÖDERMANLANDS LÄN</t>
        </is>
      </c>
      <c r="E617" t="inlineStr">
        <is>
          <t>KATRINEHOLM</t>
        </is>
      </c>
      <c r="F617" t="inlineStr">
        <is>
          <t>Kyrkan</t>
        </is>
      </c>
      <c r="G617" t="n">
        <v>11.9</v>
      </c>
      <c r="H617" t="n">
        <v>0</v>
      </c>
      <c r="I617" t="n">
        <v>0</v>
      </c>
      <c r="J617" t="n">
        <v>0</v>
      </c>
      <c r="K617" t="n">
        <v>0</v>
      </c>
      <c r="L617" t="n">
        <v>0</v>
      </c>
      <c r="M617" t="n">
        <v>0</v>
      </c>
      <c r="N617" t="n">
        <v>0</v>
      </c>
      <c r="O617" t="n">
        <v>0</v>
      </c>
      <c r="P617" t="n">
        <v>0</v>
      </c>
      <c r="Q617" t="n">
        <v>0</v>
      </c>
      <c r="R617" s="2" t="inlineStr"/>
    </row>
    <row r="618" ht="15" customHeight="1">
      <c r="A618" t="inlineStr">
        <is>
          <t>A 43837-2022</t>
        </is>
      </c>
      <c r="B618" s="1" t="n">
        <v>44838</v>
      </c>
      <c r="C618" s="1" t="n">
        <v>45888</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51397-2023</t>
        </is>
      </c>
      <c r="B619" s="1" t="n">
        <v>45214</v>
      </c>
      <c r="C619" s="1" t="n">
        <v>45888</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31392-2025</t>
        </is>
      </c>
      <c r="B620" s="1" t="n">
        <v>45833</v>
      </c>
      <c r="C620" s="1" t="n">
        <v>45888</v>
      </c>
      <c r="D620" t="inlineStr">
        <is>
          <t>SÖDERMANLANDS LÄN</t>
        </is>
      </c>
      <c r="E620" t="inlineStr">
        <is>
          <t>KATRINEHOLM</t>
        </is>
      </c>
      <c r="G620" t="n">
        <v>5</v>
      </c>
      <c r="H620" t="n">
        <v>0</v>
      </c>
      <c r="I620" t="n">
        <v>0</v>
      </c>
      <c r="J620" t="n">
        <v>0</v>
      </c>
      <c r="K620" t="n">
        <v>0</v>
      </c>
      <c r="L620" t="n">
        <v>0</v>
      </c>
      <c r="M620" t="n">
        <v>0</v>
      </c>
      <c r="N620" t="n">
        <v>0</v>
      </c>
      <c r="O620" t="n">
        <v>0</v>
      </c>
      <c r="P620" t="n">
        <v>0</v>
      </c>
      <c r="Q620" t="n">
        <v>0</v>
      </c>
      <c r="R620" s="2" t="inlineStr"/>
    </row>
    <row r="621" ht="15" customHeight="1">
      <c r="A621" t="inlineStr">
        <is>
          <t>A 17335-2023</t>
        </is>
      </c>
      <c r="B621" s="1" t="n">
        <v>45033</v>
      </c>
      <c r="C621" s="1" t="n">
        <v>45888</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59898-2022</t>
        </is>
      </c>
      <c r="B622" s="1" t="n">
        <v>44908</v>
      </c>
      <c r="C622" s="1" t="n">
        <v>45888</v>
      </c>
      <c r="D622" t="inlineStr">
        <is>
          <t>SÖDERMANLANDS LÄN</t>
        </is>
      </c>
      <c r="E622" t="inlineStr">
        <is>
          <t>KATRINEHOLM</t>
        </is>
      </c>
      <c r="G622" t="n">
        <v>4.8</v>
      </c>
      <c r="H622" t="n">
        <v>0</v>
      </c>
      <c r="I622" t="n">
        <v>0</v>
      </c>
      <c r="J622" t="n">
        <v>0</v>
      </c>
      <c r="K622" t="n">
        <v>0</v>
      </c>
      <c r="L622" t="n">
        <v>0</v>
      </c>
      <c r="M622" t="n">
        <v>0</v>
      </c>
      <c r="N622" t="n">
        <v>0</v>
      </c>
      <c r="O622" t="n">
        <v>0</v>
      </c>
      <c r="P622" t="n">
        <v>0</v>
      </c>
      <c r="Q622" t="n">
        <v>0</v>
      </c>
      <c r="R622" s="2" t="inlineStr"/>
    </row>
    <row r="623" ht="15" customHeight="1">
      <c r="A623" t="inlineStr">
        <is>
          <t>A 31376-2025</t>
        </is>
      </c>
      <c r="B623" s="1" t="n">
        <v>45833</v>
      </c>
      <c r="C623" s="1" t="n">
        <v>45888</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19670-2022</t>
        </is>
      </c>
      <c r="B624" s="1" t="n">
        <v>44694</v>
      </c>
      <c r="C624" s="1" t="n">
        <v>45888</v>
      </c>
      <c r="D624" t="inlineStr">
        <is>
          <t>SÖDERMANLANDS LÄN</t>
        </is>
      </c>
      <c r="E624" t="inlineStr">
        <is>
          <t>KATRINEHOLM</t>
        </is>
      </c>
      <c r="G624" t="n">
        <v>13.6</v>
      </c>
      <c r="H624" t="n">
        <v>0</v>
      </c>
      <c r="I624" t="n">
        <v>0</v>
      </c>
      <c r="J624" t="n">
        <v>0</v>
      </c>
      <c r="K624" t="n">
        <v>0</v>
      </c>
      <c r="L624" t="n">
        <v>0</v>
      </c>
      <c r="M624" t="n">
        <v>0</v>
      </c>
      <c r="N624" t="n">
        <v>0</v>
      </c>
      <c r="O624" t="n">
        <v>0</v>
      </c>
      <c r="P624" t="n">
        <v>0</v>
      </c>
      <c r="Q624" t="n">
        <v>0</v>
      </c>
      <c r="R624" s="2" t="inlineStr"/>
    </row>
    <row r="625" ht="15" customHeight="1">
      <c r="A625" t="inlineStr">
        <is>
          <t>A 43649-2020</t>
        </is>
      </c>
      <c r="B625" s="1" t="n">
        <v>44082</v>
      </c>
      <c r="C625" s="1" t="n">
        <v>45888</v>
      </c>
      <c r="D625" t="inlineStr">
        <is>
          <t>SÖDERMANLANDS LÄN</t>
        </is>
      </c>
      <c r="E625" t="inlineStr">
        <is>
          <t>KATRINEHOLM</t>
        </is>
      </c>
      <c r="G625" t="n">
        <v>6.9</v>
      </c>
      <c r="H625" t="n">
        <v>0</v>
      </c>
      <c r="I625" t="n">
        <v>0</v>
      </c>
      <c r="J625" t="n">
        <v>0</v>
      </c>
      <c r="K625" t="n">
        <v>0</v>
      </c>
      <c r="L625" t="n">
        <v>0</v>
      </c>
      <c r="M625" t="n">
        <v>0</v>
      </c>
      <c r="N625" t="n">
        <v>0</v>
      </c>
      <c r="O625" t="n">
        <v>0</v>
      </c>
      <c r="P625" t="n">
        <v>0</v>
      </c>
      <c r="Q625" t="n">
        <v>0</v>
      </c>
      <c r="R625" s="2" t="inlineStr"/>
    </row>
    <row r="626" ht="15" customHeight="1">
      <c r="A626" t="inlineStr">
        <is>
          <t>A 37043-2025</t>
        </is>
      </c>
      <c r="B626" s="1" t="n">
        <v>45875.3396412037</v>
      </c>
      <c r="C626" s="1" t="n">
        <v>45888</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31386-2025</t>
        </is>
      </c>
      <c r="B627" s="1" t="n">
        <v>45833.45259259259</v>
      </c>
      <c r="C627" s="1" t="n">
        <v>45888</v>
      </c>
      <c r="D627" t="inlineStr">
        <is>
          <t>SÖDERMANLANDS LÄN</t>
        </is>
      </c>
      <c r="E627" t="inlineStr">
        <is>
          <t>KATRINEHOLM</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6606-2022</t>
        </is>
      </c>
      <c r="B628" s="1" t="n">
        <v>44601</v>
      </c>
      <c r="C628" s="1" t="n">
        <v>45888</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4122-2023</t>
        </is>
      </c>
      <c r="B629" s="1" t="n">
        <v>44952</v>
      </c>
      <c r="C629" s="1" t="n">
        <v>45888</v>
      </c>
      <c r="D629" t="inlineStr">
        <is>
          <t>SÖDERMANLANDS LÄN</t>
        </is>
      </c>
      <c r="E629" t="inlineStr">
        <is>
          <t>KATRINEHOLM</t>
        </is>
      </c>
      <c r="G629" t="n">
        <v>9</v>
      </c>
      <c r="H629" t="n">
        <v>0</v>
      </c>
      <c r="I629" t="n">
        <v>0</v>
      </c>
      <c r="J629" t="n">
        <v>0</v>
      </c>
      <c r="K629" t="n">
        <v>0</v>
      </c>
      <c r="L629" t="n">
        <v>0</v>
      </c>
      <c r="M629" t="n">
        <v>0</v>
      </c>
      <c r="N629" t="n">
        <v>0</v>
      </c>
      <c r="O629" t="n">
        <v>0</v>
      </c>
      <c r="P629" t="n">
        <v>0</v>
      </c>
      <c r="Q629" t="n">
        <v>0</v>
      </c>
      <c r="R629" s="2" t="inlineStr"/>
    </row>
    <row r="630" ht="15" customHeight="1">
      <c r="A630" t="inlineStr">
        <is>
          <t>A 73412-2021</t>
        </is>
      </c>
      <c r="B630" s="1" t="n">
        <v>44551</v>
      </c>
      <c r="C630" s="1" t="n">
        <v>45888</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28995-2024</t>
        </is>
      </c>
      <c r="B631" s="1" t="n">
        <v>45481.49899305555</v>
      </c>
      <c r="C631" s="1" t="n">
        <v>45888</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28597-2024</t>
        </is>
      </c>
      <c r="B632" s="1" t="n">
        <v>45478</v>
      </c>
      <c r="C632" s="1" t="n">
        <v>45888</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49341-2024</t>
        </is>
      </c>
      <c r="B633" s="1" t="n">
        <v>45595</v>
      </c>
      <c r="C633" s="1" t="n">
        <v>45888</v>
      </c>
      <c r="D633" t="inlineStr">
        <is>
          <t>SÖDERMANLANDS LÄN</t>
        </is>
      </c>
      <c r="E633" t="inlineStr">
        <is>
          <t>KATRINEHOLM</t>
        </is>
      </c>
      <c r="G633" t="n">
        <v>10</v>
      </c>
      <c r="H633" t="n">
        <v>0</v>
      </c>
      <c r="I633" t="n">
        <v>0</v>
      </c>
      <c r="J633" t="n">
        <v>0</v>
      </c>
      <c r="K633" t="n">
        <v>0</v>
      </c>
      <c r="L633" t="n">
        <v>0</v>
      </c>
      <c r="M633" t="n">
        <v>0</v>
      </c>
      <c r="N633" t="n">
        <v>0</v>
      </c>
      <c r="O633" t="n">
        <v>0</v>
      </c>
      <c r="P633" t="n">
        <v>0</v>
      </c>
      <c r="Q633" t="n">
        <v>0</v>
      </c>
      <c r="R633" s="2" t="inlineStr"/>
    </row>
    <row r="634" ht="15" customHeight="1">
      <c r="A634" t="inlineStr">
        <is>
          <t>A 23347-2023</t>
        </is>
      </c>
      <c r="B634" s="1" t="n">
        <v>45076</v>
      </c>
      <c r="C634" s="1" t="n">
        <v>45888</v>
      </c>
      <c r="D634" t="inlineStr">
        <is>
          <t>SÖDERMANLANDS LÄN</t>
        </is>
      </c>
      <c r="E634" t="inlineStr">
        <is>
          <t>KATRINEHOLM</t>
        </is>
      </c>
      <c r="G634" t="n">
        <v>4.3</v>
      </c>
      <c r="H634" t="n">
        <v>0</v>
      </c>
      <c r="I634" t="n">
        <v>0</v>
      </c>
      <c r="J634" t="n">
        <v>0</v>
      </c>
      <c r="K634" t="n">
        <v>0</v>
      </c>
      <c r="L634" t="n">
        <v>0</v>
      </c>
      <c r="M634" t="n">
        <v>0</v>
      </c>
      <c r="N634" t="n">
        <v>0</v>
      </c>
      <c r="O634" t="n">
        <v>0</v>
      </c>
      <c r="P634" t="n">
        <v>0</v>
      </c>
      <c r="Q634" t="n">
        <v>0</v>
      </c>
      <c r="R634" s="2" t="inlineStr"/>
    </row>
    <row r="635" ht="15" customHeight="1">
      <c r="A635" t="inlineStr">
        <is>
          <t>A 23916-2023</t>
        </is>
      </c>
      <c r="B635" s="1" t="n">
        <v>45075</v>
      </c>
      <c r="C635" s="1" t="n">
        <v>45888</v>
      </c>
      <c r="D635" t="inlineStr">
        <is>
          <t>SÖDERMANLANDS LÄN</t>
        </is>
      </c>
      <c r="E635" t="inlineStr">
        <is>
          <t>KATRINEHOLM</t>
        </is>
      </c>
      <c r="G635" t="n">
        <v>8</v>
      </c>
      <c r="H635" t="n">
        <v>0</v>
      </c>
      <c r="I635" t="n">
        <v>0</v>
      </c>
      <c r="J635" t="n">
        <v>0</v>
      </c>
      <c r="K635" t="n">
        <v>0</v>
      </c>
      <c r="L635" t="n">
        <v>0</v>
      </c>
      <c r="M635" t="n">
        <v>0</v>
      </c>
      <c r="N635" t="n">
        <v>0</v>
      </c>
      <c r="O635" t="n">
        <v>0</v>
      </c>
      <c r="P635" t="n">
        <v>0</v>
      </c>
      <c r="Q635" t="n">
        <v>0</v>
      </c>
      <c r="R635" s="2" t="inlineStr"/>
    </row>
    <row r="636" ht="15" customHeight="1">
      <c r="A636" t="inlineStr">
        <is>
          <t>A 33278-2024</t>
        </is>
      </c>
      <c r="B636" s="1" t="n">
        <v>45518</v>
      </c>
      <c r="C636" s="1" t="n">
        <v>45888</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41966-2023</t>
        </is>
      </c>
      <c r="B637" s="1" t="n">
        <v>45177</v>
      </c>
      <c r="C637" s="1" t="n">
        <v>45888</v>
      </c>
      <c r="D637" t="inlineStr">
        <is>
          <t>SÖDERMANLANDS LÄN</t>
        </is>
      </c>
      <c r="E637" t="inlineStr">
        <is>
          <t>KATRINEHOLM</t>
        </is>
      </c>
      <c r="G637" t="n">
        <v>36.9</v>
      </c>
      <c r="H637" t="n">
        <v>0</v>
      </c>
      <c r="I637" t="n">
        <v>0</v>
      </c>
      <c r="J637" t="n">
        <v>0</v>
      </c>
      <c r="K637" t="n">
        <v>0</v>
      </c>
      <c r="L637" t="n">
        <v>0</v>
      </c>
      <c r="M637" t="n">
        <v>0</v>
      </c>
      <c r="N637" t="n">
        <v>0</v>
      </c>
      <c r="O637" t="n">
        <v>0</v>
      </c>
      <c r="P637" t="n">
        <v>0</v>
      </c>
      <c r="Q637" t="n">
        <v>0</v>
      </c>
      <c r="R637" s="2" t="inlineStr"/>
    </row>
    <row r="638" ht="15" customHeight="1">
      <c r="A638" t="inlineStr">
        <is>
          <t>A 10446-2024</t>
        </is>
      </c>
      <c r="B638" s="1" t="n">
        <v>45366</v>
      </c>
      <c r="C638" s="1" t="n">
        <v>45888</v>
      </c>
      <c r="D638" t="inlineStr">
        <is>
          <t>SÖDERMANLANDS LÄN</t>
        </is>
      </c>
      <c r="E638" t="inlineStr">
        <is>
          <t>KATRINEHOLM</t>
        </is>
      </c>
      <c r="G638" t="n">
        <v>2.3</v>
      </c>
      <c r="H638" t="n">
        <v>0</v>
      </c>
      <c r="I638" t="n">
        <v>0</v>
      </c>
      <c r="J638" t="n">
        <v>0</v>
      </c>
      <c r="K638" t="n">
        <v>0</v>
      </c>
      <c r="L638" t="n">
        <v>0</v>
      </c>
      <c r="M638" t="n">
        <v>0</v>
      </c>
      <c r="N638" t="n">
        <v>0</v>
      </c>
      <c r="O638" t="n">
        <v>0</v>
      </c>
      <c r="P638" t="n">
        <v>0</v>
      </c>
      <c r="Q638" t="n">
        <v>0</v>
      </c>
      <c r="R638" s="2" t="inlineStr"/>
    </row>
    <row r="639" ht="15" customHeight="1">
      <c r="A639" t="inlineStr">
        <is>
          <t>A 8761-2023</t>
        </is>
      </c>
      <c r="B639" s="1" t="n">
        <v>44978.49685185185</v>
      </c>
      <c r="C639" s="1" t="n">
        <v>45888</v>
      </c>
      <c r="D639" t="inlineStr">
        <is>
          <t>SÖDERMANLANDS LÄN</t>
        </is>
      </c>
      <c r="E639" t="inlineStr">
        <is>
          <t>KATRINEHOLM</t>
        </is>
      </c>
      <c r="G639" t="n">
        <v>1.2</v>
      </c>
      <c r="H639" t="n">
        <v>0</v>
      </c>
      <c r="I639" t="n">
        <v>0</v>
      </c>
      <c r="J639" t="n">
        <v>0</v>
      </c>
      <c r="K639" t="n">
        <v>0</v>
      </c>
      <c r="L639" t="n">
        <v>0</v>
      </c>
      <c r="M639" t="n">
        <v>0</v>
      </c>
      <c r="N639" t="n">
        <v>0</v>
      </c>
      <c r="O639" t="n">
        <v>0</v>
      </c>
      <c r="P639" t="n">
        <v>0</v>
      </c>
      <c r="Q639" t="n">
        <v>0</v>
      </c>
      <c r="R639" s="2" t="inlineStr"/>
    </row>
    <row r="640" ht="15" customHeight="1">
      <c r="A640" t="inlineStr">
        <is>
          <t>A 8778-2023</t>
        </is>
      </c>
      <c r="B640" s="1" t="n">
        <v>44978.5737037037</v>
      </c>
      <c r="C640" s="1" t="n">
        <v>45888</v>
      </c>
      <c r="D640" t="inlineStr">
        <is>
          <t>SÖDERMANLANDS LÄN</t>
        </is>
      </c>
      <c r="E640" t="inlineStr">
        <is>
          <t>KATRINEHOLM</t>
        </is>
      </c>
      <c r="G640" t="n">
        <v>4.5</v>
      </c>
      <c r="H640" t="n">
        <v>0</v>
      </c>
      <c r="I640" t="n">
        <v>0</v>
      </c>
      <c r="J640" t="n">
        <v>0</v>
      </c>
      <c r="K640" t="n">
        <v>0</v>
      </c>
      <c r="L640" t="n">
        <v>0</v>
      </c>
      <c r="M640" t="n">
        <v>0</v>
      </c>
      <c r="N640" t="n">
        <v>0</v>
      </c>
      <c r="O640" t="n">
        <v>0</v>
      </c>
      <c r="P640" t="n">
        <v>0</v>
      </c>
      <c r="Q640" t="n">
        <v>0</v>
      </c>
      <c r="R640" s="2" t="inlineStr"/>
    </row>
    <row r="641" ht="15" customHeight="1">
      <c r="A641" t="inlineStr">
        <is>
          <t>A 63677-2020</t>
        </is>
      </c>
      <c r="B641" s="1" t="n">
        <v>44166</v>
      </c>
      <c r="C641" s="1" t="n">
        <v>45888</v>
      </c>
      <c r="D641" t="inlineStr">
        <is>
          <t>SÖDERMANLANDS LÄN</t>
        </is>
      </c>
      <c r="E641" t="inlineStr">
        <is>
          <t>KATRINEHOLM</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15399-2022</t>
        </is>
      </c>
      <c r="B642" s="1" t="n">
        <v>44659</v>
      </c>
      <c r="C642" s="1" t="n">
        <v>45888</v>
      </c>
      <c r="D642" t="inlineStr">
        <is>
          <t>SÖDERMANLANDS LÄN</t>
        </is>
      </c>
      <c r="E642" t="inlineStr">
        <is>
          <t>KATRINEHOLM</t>
        </is>
      </c>
      <c r="G642" t="n">
        <v>5.6</v>
      </c>
      <c r="H642" t="n">
        <v>0</v>
      </c>
      <c r="I642" t="n">
        <v>0</v>
      </c>
      <c r="J642" t="n">
        <v>0</v>
      </c>
      <c r="K642" t="n">
        <v>0</v>
      </c>
      <c r="L642" t="n">
        <v>0</v>
      </c>
      <c r="M642" t="n">
        <v>0</v>
      </c>
      <c r="N642" t="n">
        <v>0</v>
      </c>
      <c r="O642" t="n">
        <v>0</v>
      </c>
      <c r="P642" t="n">
        <v>0</v>
      </c>
      <c r="Q642" t="n">
        <v>0</v>
      </c>
      <c r="R642" s="2" t="inlineStr"/>
    </row>
    <row r="643" ht="15" customHeight="1">
      <c r="A643" t="inlineStr">
        <is>
          <t>A 49116-2024</t>
        </is>
      </c>
      <c r="B643" s="1" t="n">
        <v>45594.6605787037</v>
      </c>
      <c r="C643" s="1" t="n">
        <v>45888</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31990-2025</t>
        </is>
      </c>
      <c r="B644" s="1" t="n">
        <v>45835.36697916667</v>
      </c>
      <c r="C644" s="1" t="n">
        <v>45888</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40186-2023</t>
        </is>
      </c>
      <c r="B645" s="1" t="n">
        <v>45169</v>
      </c>
      <c r="C645" s="1" t="n">
        <v>45888</v>
      </c>
      <c r="D645" t="inlineStr">
        <is>
          <t>SÖDERMANLANDS LÄN</t>
        </is>
      </c>
      <c r="E645" t="inlineStr">
        <is>
          <t>KATRINEHOLM</t>
        </is>
      </c>
      <c r="G645" t="n">
        <v>2.1</v>
      </c>
      <c r="H645" t="n">
        <v>0</v>
      </c>
      <c r="I645" t="n">
        <v>0</v>
      </c>
      <c r="J645" t="n">
        <v>0</v>
      </c>
      <c r="K645" t="n">
        <v>0</v>
      </c>
      <c r="L645" t="n">
        <v>0</v>
      </c>
      <c r="M645" t="n">
        <v>0</v>
      </c>
      <c r="N645" t="n">
        <v>0</v>
      </c>
      <c r="O645" t="n">
        <v>0</v>
      </c>
      <c r="P645" t="n">
        <v>0</v>
      </c>
      <c r="Q645" t="n">
        <v>0</v>
      </c>
      <c r="R645" s="2" t="inlineStr"/>
    </row>
    <row r="646" ht="15" customHeight="1">
      <c r="A646" t="inlineStr">
        <is>
          <t>A 35228-2025</t>
        </is>
      </c>
      <c r="B646" s="1" t="n">
        <v>45853</v>
      </c>
      <c r="C646" s="1" t="n">
        <v>45888</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49700-2022</t>
        </is>
      </c>
      <c r="B647" s="1" t="n">
        <v>44862</v>
      </c>
      <c r="C647" s="1" t="n">
        <v>45888</v>
      </c>
      <c r="D647" t="inlineStr">
        <is>
          <t>SÖDERMANLANDS LÄN</t>
        </is>
      </c>
      <c r="E647" t="inlineStr">
        <is>
          <t>KATRINEHOLM</t>
        </is>
      </c>
      <c r="G647" t="n">
        <v>19.5</v>
      </c>
      <c r="H647" t="n">
        <v>0</v>
      </c>
      <c r="I647" t="n">
        <v>0</v>
      </c>
      <c r="J647" t="n">
        <v>0</v>
      </c>
      <c r="K647" t="n">
        <v>0</v>
      </c>
      <c r="L647" t="n">
        <v>0</v>
      </c>
      <c r="M647" t="n">
        <v>0</v>
      </c>
      <c r="N647" t="n">
        <v>0</v>
      </c>
      <c r="O647" t="n">
        <v>0</v>
      </c>
      <c r="P647" t="n">
        <v>0</v>
      </c>
      <c r="Q647" t="n">
        <v>0</v>
      </c>
      <c r="R647" s="2" t="inlineStr"/>
    </row>
    <row r="648" ht="15" customHeight="1">
      <c r="A648" t="inlineStr">
        <is>
          <t>A 6753-2022</t>
        </is>
      </c>
      <c r="B648" s="1" t="n">
        <v>44602</v>
      </c>
      <c r="C648" s="1" t="n">
        <v>45888</v>
      </c>
      <c r="D648" t="inlineStr">
        <is>
          <t>SÖDERMANLANDS LÄN</t>
        </is>
      </c>
      <c r="E648" t="inlineStr">
        <is>
          <t>KATRINEHOLM</t>
        </is>
      </c>
      <c r="G648" t="n">
        <v>4.3</v>
      </c>
      <c r="H648" t="n">
        <v>0</v>
      </c>
      <c r="I648" t="n">
        <v>0</v>
      </c>
      <c r="J648" t="n">
        <v>0</v>
      </c>
      <c r="K648" t="n">
        <v>0</v>
      </c>
      <c r="L648" t="n">
        <v>0</v>
      </c>
      <c r="M648" t="n">
        <v>0</v>
      </c>
      <c r="N648" t="n">
        <v>0</v>
      </c>
      <c r="O648" t="n">
        <v>0</v>
      </c>
      <c r="P648" t="n">
        <v>0</v>
      </c>
      <c r="Q648" t="n">
        <v>0</v>
      </c>
      <c r="R648" s="2" t="inlineStr"/>
    </row>
    <row r="649" ht="15" customHeight="1">
      <c r="A649" t="inlineStr">
        <is>
          <t>A 6763-2022</t>
        </is>
      </c>
      <c r="B649" s="1" t="n">
        <v>44602</v>
      </c>
      <c r="C649" s="1" t="n">
        <v>45888</v>
      </c>
      <c r="D649" t="inlineStr">
        <is>
          <t>SÖDERMANLANDS LÄN</t>
        </is>
      </c>
      <c r="E649" t="inlineStr">
        <is>
          <t>KATRINEHOLM</t>
        </is>
      </c>
      <c r="G649" t="n">
        <v>6.7</v>
      </c>
      <c r="H649" t="n">
        <v>0</v>
      </c>
      <c r="I649" t="n">
        <v>0</v>
      </c>
      <c r="J649" t="n">
        <v>0</v>
      </c>
      <c r="K649" t="n">
        <v>0</v>
      </c>
      <c r="L649" t="n">
        <v>0</v>
      </c>
      <c r="M649" t="n">
        <v>0</v>
      </c>
      <c r="N649" t="n">
        <v>0</v>
      </c>
      <c r="O649" t="n">
        <v>0</v>
      </c>
      <c r="P649" t="n">
        <v>0</v>
      </c>
      <c r="Q649" t="n">
        <v>0</v>
      </c>
      <c r="R649" s="2" t="inlineStr"/>
    </row>
    <row r="650" ht="15" customHeight="1">
      <c r="A650" t="inlineStr">
        <is>
          <t>A 39068-2022</t>
        </is>
      </c>
      <c r="B650" s="1" t="n">
        <v>44816</v>
      </c>
      <c r="C650" s="1" t="n">
        <v>45888</v>
      </c>
      <c r="D650" t="inlineStr">
        <is>
          <t>SÖDERMANLANDS LÄN</t>
        </is>
      </c>
      <c r="E650" t="inlineStr">
        <is>
          <t>KATRINEHOLM</t>
        </is>
      </c>
      <c r="G650" t="n">
        <v>3.6</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45888</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45888</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46899-2022</t>
        </is>
      </c>
      <c r="B653" s="1" t="n">
        <v>44848</v>
      </c>
      <c r="C653" s="1" t="n">
        <v>45888</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9714-2024</t>
        </is>
      </c>
      <c r="B654" s="1" t="n">
        <v>45362</v>
      </c>
      <c r="C654" s="1" t="n">
        <v>45888</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39897-2023</t>
        </is>
      </c>
      <c r="B655" s="1" t="n">
        <v>45168</v>
      </c>
      <c r="C655" s="1" t="n">
        <v>45888</v>
      </c>
      <c r="D655" t="inlineStr">
        <is>
          <t>SÖDERMANLANDS LÄN</t>
        </is>
      </c>
      <c r="E655" t="inlineStr">
        <is>
          <t>KATRINEHOLM</t>
        </is>
      </c>
      <c r="G655" t="n">
        <v>15.6</v>
      </c>
      <c r="H655" t="n">
        <v>0</v>
      </c>
      <c r="I655" t="n">
        <v>0</v>
      </c>
      <c r="J655" t="n">
        <v>0</v>
      </c>
      <c r="K655" t="n">
        <v>0</v>
      </c>
      <c r="L655" t="n">
        <v>0</v>
      </c>
      <c r="M655" t="n">
        <v>0</v>
      </c>
      <c r="N655" t="n">
        <v>0</v>
      </c>
      <c r="O655" t="n">
        <v>0</v>
      </c>
      <c r="P655" t="n">
        <v>0</v>
      </c>
      <c r="Q655" t="n">
        <v>0</v>
      </c>
      <c r="R655" s="2" t="inlineStr"/>
    </row>
    <row r="656" ht="15" customHeight="1">
      <c r="A656" t="inlineStr">
        <is>
          <t>A 66540-2021</t>
        </is>
      </c>
      <c r="B656" s="1" t="n">
        <v>44519</v>
      </c>
      <c r="C656" s="1" t="n">
        <v>45888</v>
      </c>
      <c r="D656" t="inlineStr">
        <is>
          <t>SÖDERMANLANDS LÄN</t>
        </is>
      </c>
      <c r="E656" t="inlineStr">
        <is>
          <t>KATRINEHOLM</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2735-2025</t>
        </is>
      </c>
      <c r="B657" s="1" t="n">
        <v>45677</v>
      </c>
      <c r="C657" s="1" t="n">
        <v>45888</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37827-2025</t>
        </is>
      </c>
      <c r="B658" s="1" t="n">
        <v>45881.40907407407</v>
      </c>
      <c r="C658" s="1" t="n">
        <v>45888</v>
      </c>
      <c r="D658" t="inlineStr">
        <is>
          <t>SÖDERMANLANDS LÄN</t>
        </is>
      </c>
      <c r="E658" t="inlineStr">
        <is>
          <t>KATRINEHOLM</t>
        </is>
      </c>
      <c r="F658" t="inlineStr">
        <is>
          <t>Övriga Aktiebolag</t>
        </is>
      </c>
      <c r="G658" t="n">
        <v>2</v>
      </c>
      <c r="H658" t="n">
        <v>0</v>
      </c>
      <c r="I658" t="n">
        <v>0</v>
      </c>
      <c r="J658" t="n">
        <v>0</v>
      </c>
      <c r="K658" t="n">
        <v>0</v>
      </c>
      <c r="L658" t="n">
        <v>0</v>
      </c>
      <c r="M658" t="n">
        <v>0</v>
      </c>
      <c r="N658" t="n">
        <v>0</v>
      </c>
      <c r="O658" t="n">
        <v>0</v>
      </c>
      <c r="P658" t="n">
        <v>0</v>
      </c>
      <c r="Q658" t="n">
        <v>0</v>
      </c>
      <c r="R658" s="2" t="inlineStr"/>
    </row>
    <row r="659" ht="15" customHeight="1">
      <c r="A659" t="inlineStr">
        <is>
          <t>A 20326-2023</t>
        </is>
      </c>
      <c r="B659" s="1" t="n">
        <v>45056.46821759259</v>
      </c>
      <c r="C659" s="1" t="n">
        <v>45888</v>
      </c>
      <c r="D659" t="inlineStr">
        <is>
          <t>SÖDERMANLANDS LÄN</t>
        </is>
      </c>
      <c r="E659" t="inlineStr">
        <is>
          <t>KATRINEHOLM</t>
        </is>
      </c>
      <c r="G659" t="n">
        <v>0.9</v>
      </c>
      <c r="H659" t="n">
        <v>0</v>
      </c>
      <c r="I659" t="n">
        <v>0</v>
      </c>
      <c r="J659" t="n">
        <v>0</v>
      </c>
      <c r="K659" t="n">
        <v>0</v>
      </c>
      <c r="L659" t="n">
        <v>0</v>
      </c>
      <c r="M659" t="n">
        <v>0</v>
      </c>
      <c r="N659" t="n">
        <v>0</v>
      </c>
      <c r="O659" t="n">
        <v>0</v>
      </c>
      <c r="P659" t="n">
        <v>0</v>
      </c>
      <c r="Q659" t="n">
        <v>0</v>
      </c>
      <c r="R659" s="2" t="inlineStr"/>
    </row>
    <row r="660" ht="15" customHeight="1">
      <c r="A660" t="inlineStr">
        <is>
          <t>A 67337-2021</t>
        </is>
      </c>
      <c r="B660" s="1" t="n">
        <v>44523</v>
      </c>
      <c r="C660" s="1" t="n">
        <v>45888</v>
      </c>
      <c r="D660" t="inlineStr">
        <is>
          <t>SÖDERMANLANDS LÄN</t>
        </is>
      </c>
      <c r="E660" t="inlineStr">
        <is>
          <t>KATRINEHOLM</t>
        </is>
      </c>
      <c r="G660" t="n">
        <v>5.2</v>
      </c>
      <c r="H660" t="n">
        <v>0</v>
      </c>
      <c r="I660" t="n">
        <v>0</v>
      </c>
      <c r="J660" t="n">
        <v>0</v>
      </c>
      <c r="K660" t="n">
        <v>0</v>
      </c>
      <c r="L660" t="n">
        <v>0</v>
      </c>
      <c r="M660" t="n">
        <v>0</v>
      </c>
      <c r="N660" t="n">
        <v>0</v>
      </c>
      <c r="O660" t="n">
        <v>0</v>
      </c>
      <c r="P660" t="n">
        <v>0</v>
      </c>
      <c r="Q660" t="n">
        <v>0</v>
      </c>
      <c r="R660" s="2" t="inlineStr"/>
    </row>
    <row r="661" ht="15" customHeight="1">
      <c r="A661" t="inlineStr">
        <is>
          <t>A 9044-2022</t>
        </is>
      </c>
      <c r="B661" s="1" t="n">
        <v>44602</v>
      </c>
      <c r="C661" s="1" t="n">
        <v>45888</v>
      </c>
      <c r="D661" t="inlineStr">
        <is>
          <t>SÖDERMANLANDS LÄN</t>
        </is>
      </c>
      <c r="E661" t="inlineStr">
        <is>
          <t>KATRINEHOLM</t>
        </is>
      </c>
      <c r="G661" t="n">
        <v>5.8</v>
      </c>
      <c r="H661" t="n">
        <v>0</v>
      </c>
      <c r="I661" t="n">
        <v>0</v>
      </c>
      <c r="J661" t="n">
        <v>0</v>
      </c>
      <c r="K661" t="n">
        <v>0</v>
      </c>
      <c r="L661" t="n">
        <v>0</v>
      </c>
      <c r="M661" t="n">
        <v>0</v>
      </c>
      <c r="N661" t="n">
        <v>0</v>
      </c>
      <c r="O661" t="n">
        <v>0</v>
      </c>
      <c r="P661" t="n">
        <v>0</v>
      </c>
      <c r="Q661" t="n">
        <v>0</v>
      </c>
      <c r="R661" s="2" t="inlineStr"/>
    </row>
    <row r="662" ht="15" customHeight="1">
      <c r="A662" t="inlineStr">
        <is>
          <t>A 55136-2020</t>
        </is>
      </c>
      <c r="B662" s="1" t="n">
        <v>44130</v>
      </c>
      <c r="C662" s="1" t="n">
        <v>45888</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33469-2025</t>
        </is>
      </c>
      <c r="B663" s="1" t="n">
        <v>45841.48686342593</v>
      </c>
      <c r="C663" s="1" t="n">
        <v>45888</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33084-2025</t>
        </is>
      </c>
      <c r="B664" s="1" t="n">
        <v>45840.46559027778</v>
      </c>
      <c r="C664" s="1" t="n">
        <v>45888</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33129-2025</t>
        </is>
      </c>
      <c r="B665" s="1" t="n">
        <v>45840.50141203704</v>
      </c>
      <c r="C665" s="1" t="n">
        <v>45888</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33577-2025</t>
        </is>
      </c>
      <c r="B666" s="1" t="n">
        <v>45841.59056712963</v>
      </c>
      <c r="C666" s="1" t="n">
        <v>45888</v>
      </c>
      <c r="D666" t="inlineStr">
        <is>
          <t>SÖDERMANLANDS LÄN</t>
        </is>
      </c>
      <c r="E666" t="inlineStr">
        <is>
          <t>KATRINEHOLM</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69117-2021</t>
        </is>
      </c>
      <c r="B667" s="1" t="n">
        <v>44530.82445601852</v>
      </c>
      <c r="C667" s="1" t="n">
        <v>45888</v>
      </c>
      <c r="D667" t="inlineStr">
        <is>
          <t>SÖDERMANLANDS LÄN</t>
        </is>
      </c>
      <c r="E667" t="inlineStr">
        <is>
          <t>KATRINEHOLM</t>
        </is>
      </c>
      <c r="G667" t="n">
        <v>1.7</v>
      </c>
      <c r="H667" t="n">
        <v>0</v>
      </c>
      <c r="I667" t="n">
        <v>0</v>
      </c>
      <c r="J667" t="n">
        <v>0</v>
      </c>
      <c r="K667" t="n">
        <v>0</v>
      </c>
      <c r="L667" t="n">
        <v>0</v>
      </c>
      <c r="M667" t="n">
        <v>0</v>
      </c>
      <c r="N667" t="n">
        <v>0</v>
      </c>
      <c r="O667" t="n">
        <v>0</v>
      </c>
      <c r="P667" t="n">
        <v>0</v>
      </c>
      <c r="Q667" t="n">
        <v>0</v>
      </c>
      <c r="R667" s="2" t="inlineStr"/>
    </row>
    <row r="668" ht="15" customHeight="1">
      <c r="A668" t="inlineStr">
        <is>
          <t>A 33077-2025</t>
        </is>
      </c>
      <c r="B668" s="1" t="n">
        <v>45840.45864583334</v>
      </c>
      <c r="C668" s="1" t="n">
        <v>45888</v>
      </c>
      <c r="D668" t="inlineStr">
        <is>
          <t>SÖDERMANLANDS LÄN</t>
        </is>
      </c>
      <c r="E668" t="inlineStr">
        <is>
          <t>KATRINEHOLM</t>
        </is>
      </c>
      <c r="G668" t="n">
        <v>7</v>
      </c>
      <c r="H668" t="n">
        <v>0</v>
      </c>
      <c r="I668" t="n">
        <v>0</v>
      </c>
      <c r="J668" t="n">
        <v>0</v>
      </c>
      <c r="K668" t="n">
        <v>0</v>
      </c>
      <c r="L668" t="n">
        <v>0</v>
      </c>
      <c r="M668" t="n">
        <v>0</v>
      </c>
      <c r="N668" t="n">
        <v>0</v>
      </c>
      <c r="O668" t="n">
        <v>0</v>
      </c>
      <c r="P668" t="n">
        <v>0</v>
      </c>
      <c r="Q668" t="n">
        <v>0</v>
      </c>
      <c r="R668" s="2" t="inlineStr"/>
    </row>
    <row r="669" ht="15" customHeight="1">
      <c r="A669" t="inlineStr">
        <is>
          <t>A 12559-2023</t>
        </is>
      </c>
      <c r="B669" s="1" t="n">
        <v>45000.36373842593</v>
      </c>
      <c r="C669" s="1" t="n">
        <v>45888</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6722-2022</t>
        </is>
      </c>
      <c r="B670" s="1" t="n">
        <v>44602</v>
      </c>
      <c r="C670" s="1" t="n">
        <v>45888</v>
      </c>
      <c r="D670" t="inlineStr">
        <is>
          <t>SÖDERMANLANDS LÄN</t>
        </is>
      </c>
      <c r="E670" t="inlineStr">
        <is>
          <t>KATRINEHOLM</t>
        </is>
      </c>
      <c r="G670" t="n">
        <v>1.6</v>
      </c>
      <c r="H670" t="n">
        <v>0</v>
      </c>
      <c r="I670" t="n">
        <v>0</v>
      </c>
      <c r="J670" t="n">
        <v>0</v>
      </c>
      <c r="K670" t="n">
        <v>0</v>
      </c>
      <c r="L670" t="n">
        <v>0</v>
      </c>
      <c r="M670" t="n">
        <v>0</v>
      </c>
      <c r="N670" t="n">
        <v>0</v>
      </c>
      <c r="O670" t="n">
        <v>0</v>
      </c>
      <c r="P670" t="n">
        <v>0</v>
      </c>
      <c r="Q670" t="n">
        <v>0</v>
      </c>
      <c r="R670" s="2" t="inlineStr"/>
    </row>
    <row r="671" ht="15" customHeight="1">
      <c r="A671" t="inlineStr">
        <is>
          <t>A 8288-2023</t>
        </is>
      </c>
      <c r="B671" s="1" t="n">
        <v>44974</v>
      </c>
      <c r="C671" s="1" t="n">
        <v>45888</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45142-2021</t>
        </is>
      </c>
      <c r="B672" s="1" t="n">
        <v>44439</v>
      </c>
      <c r="C672" s="1" t="n">
        <v>45888</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11872-2023</t>
        </is>
      </c>
      <c r="B673" s="1" t="n">
        <v>44995</v>
      </c>
      <c r="C673" s="1" t="n">
        <v>45888</v>
      </c>
      <c r="D673" t="inlineStr">
        <is>
          <t>SÖDERMANLANDS LÄN</t>
        </is>
      </c>
      <c r="E673" t="inlineStr">
        <is>
          <t>KATRINEHOLM</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51848-2022</t>
        </is>
      </c>
      <c r="B674" s="1" t="n">
        <v>44872.57752314815</v>
      </c>
      <c r="C674" s="1" t="n">
        <v>45888</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33090-2025</t>
        </is>
      </c>
      <c r="B675" s="1" t="n">
        <v>45840.46840277778</v>
      </c>
      <c r="C675" s="1" t="n">
        <v>45888</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33096-2025</t>
        </is>
      </c>
      <c r="B676" s="1" t="n">
        <v>45840.47563657408</v>
      </c>
      <c r="C676" s="1" t="n">
        <v>45888</v>
      </c>
      <c r="D676" t="inlineStr">
        <is>
          <t>SÖDERMANLANDS LÄN</t>
        </is>
      </c>
      <c r="E676" t="inlineStr">
        <is>
          <t>KATRINEHOLM</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33101-2025</t>
        </is>
      </c>
      <c r="B677" s="1" t="n">
        <v>45840.47953703703</v>
      </c>
      <c r="C677" s="1" t="n">
        <v>45888</v>
      </c>
      <c r="D677" t="inlineStr">
        <is>
          <t>SÖDERMANLANDS LÄN</t>
        </is>
      </c>
      <c r="E677" t="inlineStr">
        <is>
          <t>KATRINEHOLM</t>
        </is>
      </c>
      <c r="G677" t="n">
        <v>4.4</v>
      </c>
      <c r="H677" t="n">
        <v>0</v>
      </c>
      <c r="I677" t="n">
        <v>0</v>
      </c>
      <c r="J677" t="n">
        <v>0</v>
      </c>
      <c r="K677" t="n">
        <v>0</v>
      </c>
      <c r="L677" t="n">
        <v>0</v>
      </c>
      <c r="M677" t="n">
        <v>0</v>
      </c>
      <c r="N677" t="n">
        <v>0</v>
      </c>
      <c r="O677" t="n">
        <v>0</v>
      </c>
      <c r="P677" t="n">
        <v>0</v>
      </c>
      <c r="Q677" t="n">
        <v>0</v>
      </c>
      <c r="R677" s="2" t="inlineStr"/>
    </row>
    <row r="678" ht="15" customHeight="1">
      <c r="A678" t="inlineStr">
        <is>
          <t>A 5788-2022</t>
        </is>
      </c>
      <c r="B678" s="1" t="n">
        <v>44596.54990740741</v>
      </c>
      <c r="C678" s="1" t="n">
        <v>45888</v>
      </c>
      <c r="D678" t="inlineStr">
        <is>
          <t>SÖDERMANLANDS LÄN</t>
        </is>
      </c>
      <c r="E678" t="inlineStr">
        <is>
          <t>KATRINEHOLM</t>
        </is>
      </c>
      <c r="G678" t="n">
        <v>4.1</v>
      </c>
      <c r="H678" t="n">
        <v>0</v>
      </c>
      <c r="I678" t="n">
        <v>0</v>
      </c>
      <c r="J678" t="n">
        <v>0</v>
      </c>
      <c r="K678" t="n">
        <v>0</v>
      </c>
      <c r="L678" t="n">
        <v>0</v>
      </c>
      <c r="M678" t="n">
        <v>0</v>
      </c>
      <c r="N678" t="n">
        <v>0</v>
      </c>
      <c r="O678" t="n">
        <v>0</v>
      </c>
      <c r="P678" t="n">
        <v>0</v>
      </c>
      <c r="Q678" t="n">
        <v>0</v>
      </c>
      <c r="R678" s="2" t="inlineStr"/>
    </row>
    <row r="679" ht="15" customHeight="1">
      <c r="A679" t="inlineStr">
        <is>
          <t>A 5790-2022</t>
        </is>
      </c>
      <c r="B679" s="1" t="n">
        <v>44596.55368055555</v>
      </c>
      <c r="C679" s="1" t="n">
        <v>45888</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53387-2023</t>
        </is>
      </c>
      <c r="B680" s="1" t="n">
        <v>45229</v>
      </c>
      <c r="C680" s="1" t="n">
        <v>45888</v>
      </c>
      <c r="D680" t="inlineStr">
        <is>
          <t>SÖDERMANLANDS LÄN</t>
        </is>
      </c>
      <c r="E680" t="inlineStr">
        <is>
          <t>KATRINEHOLM</t>
        </is>
      </c>
      <c r="F680" t="inlineStr">
        <is>
          <t>Kyrkan</t>
        </is>
      </c>
      <c r="G680" t="n">
        <v>7.4</v>
      </c>
      <c r="H680" t="n">
        <v>0</v>
      </c>
      <c r="I680" t="n">
        <v>0</v>
      </c>
      <c r="J680" t="n">
        <v>0</v>
      </c>
      <c r="K680" t="n">
        <v>0</v>
      </c>
      <c r="L680" t="n">
        <v>0</v>
      </c>
      <c r="M680" t="n">
        <v>0</v>
      </c>
      <c r="N680" t="n">
        <v>0</v>
      </c>
      <c r="O680" t="n">
        <v>0</v>
      </c>
      <c r="P680" t="n">
        <v>0</v>
      </c>
      <c r="Q680" t="n">
        <v>0</v>
      </c>
      <c r="R680" s="2" t="inlineStr"/>
    </row>
    <row r="681" ht="15" customHeight="1">
      <c r="A681" t="inlineStr">
        <is>
          <t>A 55169-2022</t>
        </is>
      </c>
      <c r="B681" s="1" t="n">
        <v>44886</v>
      </c>
      <c r="C681" s="1" t="n">
        <v>45888</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57645-2020</t>
        </is>
      </c>
      <c r="B682" s="1" t="n">
        <v>44140.68782407408</v>
      </c>
      <c r="C682" s="1" t="n">
        <v>45888</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16087-2023</t>
        </is>
      </c>
      <c r="B683" s="1" t="n">
        <v>45026</v>
      </c>
      <c r="C683" s="1" t="n">
        <v>45888</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13612-2023</t>
        </is>
      </c>
      <c r="B684" s="1" t="n">
        <v>45006</v>
      </c>
      <c r="C684" s="1" t="n">
        <v>45888</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20949-2021</t>
        </is>
      </c>
      <c r="B685" s="1" t="n">
        <v>44319</v>
      </c>
      <c r="C685" s="1" t="n">
        <v>45888</v>
      </c>
      <c r="D685" t="inlineStr">
        <is>
          <t>SÖDERMANLANDS LÄN</t>
        </is>
      </c>
      <c r="E685" t="inlineStr">
        <is>
          <t>KATRINEHOLM</t>
        </is>
      </c>
      <c r="G685" t="n">
        <v>0.9</v>
      </c>
      <c r="H685" t="n">
        <v>0</v>
      </c>
      <c r="I685" t="n">
        <v>0</v>
      </c>
      <c r="J685" t="n">
        <v>0</v>
      </c>
      <c r="K685" t="n">
        <v>0</v>
      </c>
      <c r="L685" t="n">
        <v>0</v>
      </c>
      <c r="M685" t="n">
        <v>0</v>
      </c>
      <c r="N685" t="n">
        <v>0</v>
      </c>
      <c r="O685" t="n">
        <v>0</v>
      </c>
      <c r="P685" t="n">
        <v>0</v>
      </c>
      <c r="Q685" t="n">
        <v>0</v>
      </c>
      <c r="R685" s="2" t="inlineStr"/>
    </row>
    <row r="686" ht="15" customHeight="1">
      <c r="A686" t="inlineStr">
        <is>
          <t>A 7747-2024</t>
        </is>
      </c>
      <c r="B686" s="1" t="n">
        <v>45348</v>
      </c>
      <c r="C686" s="1" t="n">
        <v>45888</v>
      </c>
      <c r="D686" t="inlineStr">
        <is>
          <t>SÖDERMANLANDS LÄN</t>
        </is>
      </c>
      <c r="E686" t="inlineStr">
        <is>
          <t>KATRINEHOLM</t>
        </is>
      </c>
      <c r="G686" t="n">
        <v>1.1</v>
      </c>
      <c r="H686" t="n">
        <v>0</v>
      </c>
      <c r="I686" t="n">
        <v>0</v>
      </c>
      <c r="J686" t="n">
        <v>0</v>
      </c>
      <c r="K686" t="n">
        <v>0</v>
      </c>
      <c r="L686" t="n">
        <v>0</v>
      </c>
      <c r="M686" t="n">
        <v>0</v>
      </c>
      <c r="N686" t="n">
        <v>0</v>
      </c>
      <c r="O686" t="n">
        <v>0</v>
      </c>
      <c r="P686" t="n">
        <v>0</v>
      </c>
      <c r="Q686" t="n">
        <v>0</v>
      </c>
      <c r="R686" s="2" t="inlineStr"/>
    </row>
    <row r="687" ht="15" customHeight="1">
      <c r="A687" t="inlineStr">
        <is>
          <t>A 21959-2022</t>
        </is>
      </c>
      <c r="B687" s="1" t="n">
        <v>44708</v>
      </c>
      <c r="C687" s="1" t="n">
        <v>45888</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42451-2023</t>
        </is>
      </c>
      <c r="B688" s="1" t="n">
        <v>45180</v>
      </c>
      <c r="C688" s="1" t="n">
        <v>45888</v>
      </c>
      <c r="D688" t="inlineStr">
        <is>
          <t>SÖDERMANLANDS LÄN</t>
        </is>
      </c>
      <c r="E688" t="inlineStr">
        <is>
          <t>KATRINEHOLM</t>
        </is>
      </c>
      <c r="G688" t="n">
        <v>3.8</v>
      </c>
      <c r="H688" t="n">
        <v>0</v>
      </c>
      <c r="I688" t="n">
        <v>0</v>
      </c>
      <c r="J688" t="n">
        <v>0</v>
      </c>
      <c r="K688" t="n">
        <v>0</v>
      </c>
      <c r="L688" t="n">
        <v>0</v>
      </c>
      <c r="M688" t="n">
        <v>0</v>
      </c>
      <c r="N688" t="n">
        <v>0</v>
      </c>
      <c r="O688" t="n">
        <v>0</v>
      </c>
      <c r="P688" t="n">
        <v>0</v>
      </c>
      <c r="Q688" t="n">
        <v>0</v>
      </c>
      <c r="R688" s="2" t="inlineStr"/>
    </row>
    <row r="689" ht="15" customHeight="1">
      <c r="A689" t="inlineStr">
        <is>
          <t>A 22506-2023</t>
        </is>
      </c>
      <c r="B689" s="1" t="n">
        <v>45071.37393518518</v>
      </c>
      <c r="C689" s="1" t="n">
        <v>45888</v>
      </c>
      <c r="D689" t="inlineStr">
        <is>
          <t>SÖDERMANLANDS LÄN</t>
        </is>
      </c>
      <c r="E689" t="inlineStr">
        <is>
          <t>KATRINEHOLM</t>
        </is>
      </c>
      <c r="F689" t="inlineStr">
        <is>
          <t>Kyrkan</t>
        </is>
      </c>
      <c r="G689" t="n">
        <v>5.9</v>
      </c>
      <c r="H689" t="n">
        <v>0</v>
      </c>
      <c r="I689" t="n">
        <v>0</v>
      </c>
      <c r="J689" t="n">
        <v>0</v>
      </c>
      <c r="K689" t="n">
        <v>0</v>
      </c>
      <c r="L689" t="n">
        <v>0</v>
      </c>
      <c r="M689" t="n">
        <v>0</v>
      </c>
      <c r="N689" t="n">
        <v>0</v>
      </c>
      <c r="O689" t="n">
        <v>0</v>
      </c>
      <c r="P689" t="n">
        <v>0</v>
      </c>
      <c r="Q689" t="n">
        <v>0</v>
      </c>
      <c r="R689" s="2" t="inlineStr"/>
    </row>
    <row r="690" ht="15" customHeight="1">
      <c r="A690" t="inlineStr">
        <is>
          <t>A 4650-2024</t>
        </is>
      </c>
      <c r="B690" s="1" t="n">
        <v>45328</v>
      </c>
      <c r="C690" s="1" t="n">
        <v>45888</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4652-2024</t>
        </is>
      </c>
      <c r="B691" s="1" t="n">
        <v>45328</v>
      </c>
      <c r="C691" s="1" t="n">
        <v>45888</v>
      </c>
      <c r="D691" t="inlineStr">
        <is>
          <t>SÖDERMANLANDS LÄN</t>
        </is>
      </c>
      <c r="E691" t="inlineStr">
        <is>
          <t>KATRINEHOLM</t>
        </is>
      </c>
      <c r="F691" t="inlineStr">
        <is>
          <t>Övriga Aktiebolag</t>
        </is>
      </c>
      <c r="G691" t="n">
        <v>6.1</v>
      </c>
      <c r="H691" t="n">
        <v>0</v>
      </c>
      <c r="I691" t="n">
        <v>0</v>
      </c>
      <c r="J691" t="n">
        <v>0</v>
      </c>
      <c r="K691" t="n">
        <v>0</v>
      </c>
      <c r="L691" t="n">
        <v>0</v>
      </c>
      <c r="M691" t="n">
        <v>0</v>
      </c>
      <c r="N691" t="n">
        <v>0</v>
      </c>
      <c r="O691" t="n">
        <v>0</v>
      </c>
      <c r="P691" t="n">
        <v>0</v>
      </c>
      <c r="Q691" t="n">
        <v>0</v>
      </c>
      <c r="R691" s="2" t="inlineStr"/>
    </row>
    <row r="692" ht="15" customHeight="1">
      <c r="A692" t="inlineStr">
        <is>
          <t>A 48253-2022</t>
        </is>
      </c>
      <c r="B692" s="1" t="n">
        <v>44858</v>
      </c>
      <c r="C692" s="1" t="n">
        <v>45888</v>
      </c>
      <c r="D692" t="inlineStr">
        <is>
          <t>SÖDERMANLANDS LÄN</t>
        </is>
      </c>
      <c r="E692" t="inlineStr">
        <is>
          <t>KATRINEHOLM</t>
        </is>
      </c>
      <c r="G692" t="n">
        <v>4.7</v>
      </c>
      <c r="H692" t="n">
        <v>0</v>
      </c>
      <c r="I692" t="n">
        <v>0</v>
      </c>
      <c r="J692" t="n">
        <v>0</v>
      </c>
      <c r="K692" t="n">
        <v>0</v>
      </c>
      <c r="L692" t="n">
        <v>0</v>
      </c>
      <c r="M692" t="n">
        <v>0</v>
      </c>
      <c r="N692" t="n">
        <v>0</v>
      </c>
      <c r="O692" t="n">
        <v>0</v>
      </c>
      <c r="P692" t="n">
        <v>0</v>
      </c>
      <c r="Q692" t="n">
        <v>0</v>
      </c>
      <c r="R692" s="2" t="inlineStr"/>
    </row>
    <row r="693" ht="15" customHeight="1">
      <c r="A693" t="inlineStr">
        <is>
          <t>A 26713-2024</t>
        </is>
      </c>
      <c r="B693" s="1" t="n">
        <v>45470</v>
      </c>
      <c r="C693" s="1" t="n">
        <v>45888</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32166-2022</t>
        </is>
      </c>
      <c r="B694" s="1" t="n">
        <v>44781</v>
      </c>
      <c r="C694" s="1" t="n">
        <v>45888</v>
      </c>
      <c r="D694" t="inlineStr">
        <is>
          <t>SÖDERMANLANDS LÄN</t>
        </is>
      </c>
      <c r="E694" t="inlineStr">
        <is>
          <t>KATRINEHOLM</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59384-2022</t>
        </is>
      </c>
      <c r="B695" s="1" t="n">
        <v>44905</v>
      </c>
      <c r="C695" s="1" t="n">
        <v>45888</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33812-2025</t>
        </is>
      </c>
      <c r="B696" s="1" t="n">
        <v>45842</v>
      </c>
      <c r="C696" s="1" t="n">
        <v>45888</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1151-2025</t>
        </is>
      </c>
      <c r="B697" s="1" t="n">
        <v>45666</v>
      </c>
      <c r="C697" s="1" t="n">
        <v>45888</v>
      </c>
      <c r="D697" t="inlineStr">
        <is>
          <t>SÖDERMANLANDS LÄN</t>
        </is>
      </c>
      <c r="E697" t="inlineStr">
        <is>
          <t>KATRINEHOLM</t>
        </is>
      </c>
      <c r="G697" t="n">
        <v>1.9</v>
      </c>
      <c r="H697" t="n">
        <v>0</v>
      </c>
      <c r="I697" t="n">
        <v>0</v>
      </c>
      <c r="J697" t="n">
        <v>0</v>
      </c>
      <c r="K697" t="n">
        <v>0</v>
      </c>
      <c r="L697" t="n">
        <v>0</v>
      </c>
      <c r="M697" t="n">
        <v>0</v>
      </c>
      <c r="N697" t="n">
        <v>0</v>
      </c>
      <c r="O697" t="n">
        <v>0</v>
      </c>
      <c r="P697" t="n">
        <v>0</v>
      </c>
      <c r="Q697" t="n">
        <v>0</v>
      </c>
      <c r="R697" s="2" t="inlineStr"/>
    </row>
    <row r="698" ht="15" customHeight="1">
      <c r="A698" t="inlineStr">
        <is>
          <t>A 10996-2022</t>
        </is>
      </c>
      <c r="B698" s="1" t="n">
        <v>44628</v>
      </c>
      <c r="C698" s="1" t="n">
        <v>45888</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25363-2023</t>
        </is>
      </c>
      <c r="B699" s="1" t="n">
        <v>45088.83840277778</v>
      </c>
      <c r="C699" s="1" t="n">
        <v>45888</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59308-2020</t>
        </is>
      </c>
      <c r="B700" s="1" t="n">
        <v>44147</v>
      </c>
      <c r="C700" s="1" t="n">
        <v>45888</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36133-2021</t>
        </is>
      </c>
      <c r="B701" s="1" t="n">
        <v>44386</v>
      </c>
      <c r="C701" s="1" t="n">
        <v>45888</v>
      </c>
      <c r="D701" t="inlineStr">
        <is>
          <t>SÖDERMANLANDS LÄN</t>
        </is>
      </c>
      <c r="E701" t="inlineStr">
        <is>
          <t>KATRINEHOLM</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50017-2023</t>
        </is>
      </c>
      <c r="B702" s="1" t="n">
        <v>45215</v>
      </c>
      <c r="C702" s="1" t="n">
        <v>45888</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50018-2023</t>
        </is>
      </c>
      <c r="B703" s="1" t="n">
        <v>45215</v>
      </c>
      <c r="C703" s="1" t="n">
        <v>45888</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29843-2023</t>
        </is>
      </c>
      <c r="B704" s="1" t="n">
        <v>45107</v>
      </c>
      <c r="C704" s="1" t="n">
        <v>45888</v>
      </c>
      <c r="D704" t="inlineStr">
        <is>
          <t>SÖDERMANLANDS LÄN</t>
        </is>
      </c>
      <c r="E704" t="inlineStr">
        <is>
          <t>KATRINEHOLM</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6762-2025</t>
        </is>
      </c>
      <c r="B705" s="1" t="n">
        <v>45700</v>
      </c>
      <c r="C705" s="1" t="n">
        <v>45888</v>
      </c>
      <c r="D705" t="inlineStr">
        <is>
          <t>SÖDERMANLANDS LÄN</t>
        </is>
      </c>
      <c r="E705" t="inlineStr">
        <is>
          <t>KATRINEHOLM</t>
        </is>
      </c>
      <c r="G705" t="n">
        <v>1</v>
      </c>
      <c r="H705" t="n">
        <v>0</v>
      </c>
      <c r="I705" t="n">
        <v>0</v>
      </c>
      <c r="J705" t="n">
        <v>0</v>
      </c>
      <c r="K705" t="n">
        <v>0</v>
      </c>
      <c r="L705" t="n">
        <v>0</v>
      </c>
      <c r="M705" t="n">
        <v>0</v>
      </c>
      <c r="N705" t="n">
        <v>0</v>
      </c>
      <c r="O705" t="n">
        <v>0</v>
      </c>
      <c r="P705" t="n">
        <v>0</v>
      </c>
      <c r="Q705" t="n">
        <v>0</v>
      </c>
      <c r="R705" s="2" t="inlineStr"/>
    </row>
    <row r="706" ht="15" customHeight="1">
      <c r="A706" t="inlineStr">
        <is>
          <t>A 56628-2021</t>
        </is>
      </c>
      <c r="B706" s="1" t="n">
        <v>44480</v>
      </c>
      <c r="C706" s="1" t="n">
        <v>45888</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33815-2025</t>
        </is>
      </c>
      <c r="B707" s="1" t="n">
        <v>45842</v>
      </c>
      <c r="C707" s="1" t="n">
        <v>45888</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62418-2023</t>
        </is>
      </c>
      <c r="B708" s="1" t="n">
        <v>45268</v>
      </c>
      <c r="C708" s="1" t="n">
        <v>45888</v>
      </c>
      <c r="D708" t="inlineStr">
        <is>
          <t>SÖDERMANLANDS LÄN</t>
        </is>
      </c>
      <c r="E708" t="inlineStr">
        <is>
          <t>KATRINEHOLM</t>
        </is>
      </c>
      <c r="G708" t="n">
        <v>3</v>
      </c>
      <c r="H708" t="n">
        <v>0</v>
      </c>
      <c r="I708" t="n">
        <v>0</v>
      </c>
      <c r="J708" t="n">
        <v>0</v>
      </c>
      <c r="K708" t="n">
        <v>0</v>
      </c>
      <c r="L708" t="n">
        <v>0</v>
      </c>
      <c r="M708" t="n">
        <v>0</v>
      </c>
      <c r="N708" t="n">
        <v>0</v>
      </c>
      <c r="O708" t="n">
        <v>0</v>
      </c>
      <c r="P708" t="n">
        <v>0</v>
      </c>
      <c r="Q708" t="n">
        <v>0</v>
      </c>
      <c r="R708" s="2" t="inlineStr"/>
    </row>
    <row r="709" ht="15" customHeight="1">
      <c r="A709" t="inlineStr">
        <is>
          <t>A 7705-2021</t>
        </is>
      </c>
      <c r="B709" s="1" t="n">
        <v>44242</v>
      </c>
      <c r="C709" s="1" t="n">
        <v>45888</v>
      </c>
      <c r="D709" t="inlineStr">
        <is>
          <t>SÖDERMANLANDS LÄN</t>
        </is>
      </c>
      <c r="E709" t="inlineStr">
        <is>
          <t>KATRINEHOLM</t>
        </is>
      </c>
      <c r="F709" t="inlineStr">
        <is>
          <t>Allmännings- och besparingsskogar</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20213-2025</t>
        </is>
      </c>
      <c r="B710" s="1" t="n">
        <v>45772.63453703704</v>
      </c>
      <c r="C710" s="1" t="n">
        <v>45888</v>
      </c>
      <c r="D710" t="inlineStr">
        <is>
          <t>SÖDERMANLANDS LÄN</t>
        </is>
      </c>
      <c r="E710" t="inlineStr">
        <is>
          <t>KATRINEHOLM</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34439-2025</t>
        </is>
      </c>
      <c r="B711" s="1" t="n">
        <v>45845</v>
      </c>
      <c r="C711" s="1" t="n">
        <v>45888</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38708-2025</t>
        </is>
      </c>
      <c r="B712" s="1" t="n">
        <v>45885</v>
      </c>
      <c r="C712" s="1" t="n">
        <v>45888</v>
      </c>
      <c r="D712" t="inlineStr">
        <is>
          <t>SÖDERMANLANDS LÄN</t>
        </is>
      </c>
      <c r="E712" t="inlineStr">
        <is>
          <t>KATRINEHOLM</t>
        </is>
      </c>
      <c r="G712" t="n">
        <v>1.9</v>
      </c>
      <c r="H712" t="n">
        <v>0</v>
      </c>
      <c r="I712" t="n">
        <v>0</v>
      </c>
      <c r="J712" t="n">
        <v>0</v>
      </c>
      <c r="K712" t="n">
        <v>0</v>
      </c>
      <c r="L712" t="n">
        <v>0</v>
      </c>
      <c r="M712" t="n">
        <v>0</v>
      </c>
      <c r="N712" t="n">
        <v>0</v>
      </c>
      <c r="O712" t="n">
        <v>0</v>
      </c>
      <c r="P712" t="n">
        <v>0</v>
      </c>
      <c r="Q712" t="n">
        <v>0</v>
      </c>
      <c r="R712" s="2" t="inlineStr"/>
    </row>
    <row r="713" ht="15" customHeight="1">
      <c r="A713" t="inlineStr">
        <is>
          <t>A 35084-2025</t>
        </is>
      </c>
      <c r="B713" s="1" t="n">
        <v>45852</v>
      </c>
      <c r="C713" s="1" t="n">
        <v>45888</v>
      </c>
      <c r="D713" t="inlineStr">
        <is>
          <t>SÖDERMANLANDS LÄN</t>
        </is>
      </c>
      <c r="E713" t="inlineStr">
        <is>
          <t>KATRINEHOLM</t>
        </is>
      </c>
      <c r="G713" t="n">
        <v>3.2</v>
      </c>
      <c r="H713" t="n">
        <v>0</v>
      </c>
      <c r="I713" t="n">
        <v>0</v>
      </c>
      <c r="J713" t="n">
        <v>0</v>
      </c>
      <c r="K713" t="n">
        <v>0</v>
      </c>
      <c r="L713" t="n">
        <v>0</v>
      </c>
      <c r="M713" t="n">
        <v>0</v>
      </c>
      <c r="N713" t="n">
        <v>0</v>
      </c>
      <c r="O713" t="n">
        <v>0</v>
      </c>
      <c r="P713" t="n">
        <v>0</v>
      </c>
      <c r="Q713" t="n">
        <v>0</v>
      </c>
      <c r="R713" s="2" t="inlineStr"/>
    </row>
    <row r="714" ht="15" customHeight="1">
      <c r="A714" t="inlineStr">
        <is>
          <t>A 48091-2024</t>
        </is>
      </c>
      <c r="B714" s="1" t="n">
        <v>45590</v>
      </c>
      <c r="C714" s="1" t="n">
        <v>45888</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48398-2022</t>
        </is>
      </c>
      <c r="B715" s="1" t="n">
        <v>44858.60809027778</v>
      </c>
      <c r="C715" s="1" t="n">
        <v>45888</v>
      </c>
      <c r="D715" t="inlineStr">
        <is>
          <t>SÖDERMANLANDS LÄN</t>
        </is>
      </c>
      <c r="E715" t="inlineStr">
        <is>
          <t>KATRINEHOLM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45888</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40230-2020</t>
        </is>
      </c>
      <c r="B717" s="1" t="n">
        <v>44068</v>
      </c>
      <c r="C717" s="1" t="n">
        <v>45888</v>
      </c>
      <c r="D717" t="inlineStr">
        <is>
          <t>SÖDERMANLANDS LÄN</t>
        </is>
      </c>
      <c r="E717" t="inlineStr">
        <is>
          <t>KATRINEHOLM</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18339-2023</t>
        </is>
      </c>
      <c r="B718" s="1" t="n">
        <v>45041</v>
      </c>
      <c r="C718" s="1" t="n">
        <v>45888</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20460-2025</t>
        </is>
      </c>
      <c r="B719" s="1" t="n">
        <v>45775.52854166667</v>
      </c>
      <c r="C719" s="1" t="n">
        <v>45888</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49092-2024</t>
        </is>
      </c>
      <c r="B720" s="1" t="n">
        <v>45594.63619212963</v>
      </c>
      <c r="C720" s="1" t="n">
        <v>45888</v>
      </c>
      <c r="D720" t="inlineStr">
        <is>
          <t>SÖDERMANLANDS LÄN</t>
        </is>
      </c>
      <c r="E720" t="inlineStr">
        <is>
          <t>KATRINEHOLM</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49095-2024</t>
        </is>
      </c>
      <c r="B721" s="1" t="n">
        <v>45594.63828703704</v>
      </c>
      <c r="C721" s="1" t="n">
        <v>45888</v>
      </c>
      <c r="D721" t="inlineStr">
        <is>
          <t>SÖDERMANLANDS LÄN</t>
        </is>
      </c>
      <c r="E721" t="inlineStr">
        <is>
          <t>KATRINEHOLM</t>
        </is>
      </c>
      <c r="F721" t="inlineStr">
        <is>
          <t>Övriga Aktiebolag</t>
        </is>
      </c>
      <c r="G721" t="n">
        <v>0.4</v>
      </c>
      <c r="H721" t="n">
        <v>0</v>
      </c>
      <c r="I721" t="n">
        <v>0</v>
      </c>
      <c r="J721" t="n">
        <v>0</v>
      </c>
      <c r="K721" t="n">
        <v>0</v>
      </c>
      <c r="L721" t="n">
        <v>0</v>
      </c>
      <c r="M721" t="n">
        <v>0</v>
      </c>
      <c r="N721" t="n">
        <v>0</v>
      </c>
      <c r="O721" t="n">
        <v>0</v>
      </c>
      <c r="P721" t="n">
        <v>0</v>
      </c>
      <c r="Q721" t="n">
        <v>0</v>
      </c>
      <c r="R721" s="2" t="inlineStr"/>
    </row>
    <row r="722" ht="15" customHeight="1">
      <c r="A722" t="inlineStr">
        <is>
          <t>A 55172-2022</t>
        </is>
      </c>
      <c r="B722" s="1" t="n">
        <v>44886</v>
      </c>
      <c r="C722" s="1" t="n">
        <v>45888</v>
      </c>
      <c r="D722" t="inlineStr">
        <is>
          <t>SÖDERMANLANDS LÄN</t>
        </is>
      </c>
      <c r="E722" t="inlineStr">
        <is>
          <t>KATRINEHOLM</t>
        </is>
      </c>
      <c r="G722" t="n">
        <v>1.3</v>
      </c>
      <c r="H722" t="n">
        <v>0</v>
      </c>
      <c r="I722" t="n">
        <v>0</v>
      </c>
      <c r="J722" t="n">
        <v>0</v>
      </c>
      <c r="K722" t="n">
        <v>0</v>
      </c>
      <c r="L722" t="n">
        <v>0</v>
      </c>
      <c r="M722" t="n">
        <v>0</v>
      </c>
      <c r="N722" t="n">
        <v>0</v>
      </c>
      <c r="O722" t="n">
        <v>0</v>
      </c>
      <c r="P722" t="n">
        <v>0</v>
      </c>
      <c r="Q722" t="n">
        <v>0</v>
      </c>
      <c r="R722" s="2" t="inlineStr"/>
    </row>
    <row r="723" ht="15" customHeight="1">
      <c r="A723" t="inlineStr">
        <is>
          <t>A 50935-2023</t>
        </is>
      </c>
      <c r="B723" s="1" t="n">
        <v>45211</v>
      </c>
      <c r="C723" s="1" t="n">
        <v>45888</v>
      </c>
      <c r="D723" t="inlineStr">
        <is>
          <t>SÖDERMANLANDS LÄN</t>
        </is>
      </c>
      <c r="E723" t="inlineStr">
        <is>
          <t>KATRINEHOLM</t>
        </is>
      </c>
      <c r="G723" t="n">
        <v>0.7</v>
      </c>
      <c r="H723" t="n">
        <v>0</v>
      </c>
      <c r="I723" t="n">
        <v>0</v>
      </c>
      <c r="J723" t="n">
        <v>0</v>
      </c>
      <c r="K723" t="n">
        <v>0</v>
      </c>
      <c r="L723" t="n">
        <v>0</v>
      </c>
      <c r="M723" t="n">
        <v>0</v>
      </c>
      <c r="N723" t="n">
        <v>0</v>
      </c>
      <c r="O723" t="n">
        <v>0</v>
      </c>
      <c r="P723" t="n">
        <v>0</v>
      </c>
      <c r="Q723" t="n">
        <v>0</v>
      </c>
      <c r="R723" s="2" t="inlineStr"/>
    </row>
    <row r="724" ht="15" customHeight="1">
      <c r="A724" t="inlineStr">
        <is>
          <t>A 24619-2024</t>
        </is>
      </c>
      <c r="B724" s="1" t="n">
        <v>45460</v>
      </c>
      <c r="C724" s="1" t="n">
        <v>45888</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6087-2021</t>
        </is>
      </c>
      <c r="B725" s="1" t="n">
        <v>44232</v>
      </c>
      <c r="C725" s="1" t="n">
        <v>45888</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53843-2023</t>
        </is>
      </c>
      <c r="B726" s="1" t="n">
        <v>45230</v>
      </c>
      <c r="C726" s="1" t="n">
        <v>45888</v>
      </c>
      <c r="D726" t="inlineStr">
        <is>
          <t>SÖDERMANLANDS LÄN</t>
        </is>
      </c>
      <c r="E726" t="inlineStr">
        <is>
          <t>KATRINEHOLM</t>
        </is>
      </c>
      <c r="G726" t="n">
        <v>14.2</v>
      </c>
      <c r="H726" t="n">
        <v>0</v>
      </c>
      <c r="I726" t="n">
        <v>0</v>
      </c>
      <c r="J726" t="n">
        <v>0</v>
      </c>
      <c r="K726" t="n">
        <v>0</v>
      </c>
      <c r="L726" t="n">
        <v>0</v>
      </c>
      <c r="M726" t="n">
        <v>0</v>
      </c>
      <c r="N726" t="n">
        <v>0</v>
      </c>
      <c r="O726" t="n">
        <v>0</v>
      </c>
      <c r="P726" t="n">
        <v>0</v>
      </c>
      <c r="Q726" t="n">
        <v>0</v>
      </c>
      <c r="R726" s="2" t="inlineStr"/>
    </row>
    <row r="727" ht="15" customHeight="1">
      <c r="A727" t="inlineStr">
        <is>
          <t>A 7254-2021</t>
        </is>
      </c>
      <c r="B727" s="1" t="n">
        <v>44238</v>
      </c>
      <c r="C727" s="1" t="n">
        <v>45888</v>
      </c>
      <c r="D727" t="inlineStr">
        <is>
          <t>SÖDERMANLANDS LÄN</t>
        </is>
      </c>
      <c r="E727" t="inlineStr">
        <is>
          <t>KATRINEHOLM</t>
        </is>
      </c>
      <c r="G727" t="n">
        <v>3.6</v>
      </c>
      <c r="H727" t="n">
        <v>0</v>
      </c>
      <c r="I727" t="n">
        <v>0</v>
      </c>
      <c r="J727" t="n">
        <v>0</v>
      </c>
      <c r="K727" t="n">
        <v>0</v>
      </c>
      <c r="L727" t="n">
        <v>0</v>
      </c>
      <c r="M727" t="n">
        <v>0</v>
      </c>
      <c r="N727" t="n">
        <v>0</v>
      </c>
      <c r="O727" t="n">
        <v>0</v>
      </c>
      <c r="P727" t="n">
        <v>0</v>
      </c>
      <c r="Q727" t="n">
        <v>0</v>
      </c>
      <c r="R727" s="2" t="inlineStr"/>
    </row>
    <row r="728" ht="15" customHeight="1">
      <c r="A728" t="inlineStr">
        <is>
          <t>A 22295-2024</t>
        </is>
      </c>
      <c r="B728" s="1" t="n">
        <v>45446.56141203704</v>
      </c>
      <c r="C728" s="1" t="n">
        <v>45888</v>
      </c>
      <c r="D728" t="inlineStr">
        <is>
          <t>SÖDERMANLANDS LÄN</t>
        </is>
      </c>
      <c r="E728" t="inlineStr">
        <is>
          <t>KATRINEHOLM</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22272-2022</t>
        </is>
      </c>
      <c r="B729" s="1" t="n">
        <v>44712</v>
      </c>
      <c r="C729" s="1" t="n">
        <v>45888</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53715-2023</t>
        </is>
      </c>
      <c r="B730" s="1" t="n">
        <v>45230</v>
      </c>
      <c r="C730" s="1" t="n">
        <v>45888</v>
      </c>
      <c r="D730" t="inlineStr">
        <is>
          <t>SÖDERMANLANDS LÄN</t>
        </is>
      </c>
      <c r="E730" t="inlineStr">
        <is>
          <t>KATRINEHOLM</t>
        </is>
      </c>
      <c r="F730" t="inlineStr">
        <is>
          <t>Allmännings- och besparingsskogar</t>
        </is>
      </c>
      <c r="G730" t="n">
        <v>5.6</v>
      </c>
      <c r="H730" t="n">
        <v>0</v>
      </c>
      <c r="I730" t="n">
        <v>0</v>
      </c>
      <c r="J730" t="n">
        <v>0</v>
      </c>
      <c r="K730" t="n">
        <v>0</v>
      </c>
      <c r="L730" t="n">
        <v>0</v>
      </c>
      <c r="M730" t="n">
        <v>0</v>
      </c>
      <c r="N730" t="n">
        <v>0</v>
      </c>
      <c r="O730" t="n">
        <v>0</v>
      </c>
      <c r="P730" t="n">
        <v>0</v>
      </c>
      <c r="Q730" t="n">
        <v>0</v>
      </c>
      <c r="R730" s="2" t="inlineStr"/>
    </row>
    <row r="731" ht="15" customHeight="1">
      <c r="A731" t="inlineStr">
        <is>
          <t>A 58175-2024</t>
        </is>
      </c>
      <c r="B731" s="1" t="n">
        <v>45632.46648148148</v>
      </c>
      <c r="C731" s="1" t="n">
        <v>45888</v>
      </c>
      <c r="D731" t="inlineStr">
        <is>
          <t>SÖDERMANLANDS LÄN</t>
        </is>
      </c>
      <c r="E731" t="inlineStr">
        <is>
          <t>KATRINEHOLM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59474-2021</t>
        </is>
      </c>
      <c r="B732" s="1" t="n">
        <v>44491</v>
      </c>
      <c r="C732" s="1" t="n">
        <v>45888</v>
      </c>
      <c r="D732" t="inlineStr">
        <is>
          <t>SÖDERMANLANDS LÄN</t>
        </is>
      </c>
      <c r="E732" t="inlineStr">
        <is>
          <t>KATRINEHOLM</t>
        </is>
      </c>
      <c r="G732" t="n">
        <v>2.7</v>
      </c>
      <c r="H732" t="n">
        <v>0</v>
      </c>
      <c r="I732" t="n">
        <v>0</v>
      </c>
      <c r="J732" t="n">
        <v>0</v>
      </c>
      <c r="K732" t="n">
        <v>0</v>
      </c>
      <c r="L732" t="n">
        <v>0</v>
      </c>
      <c r="M732" t="n">
        <v>0</v>
      </c>
      <c r="N732" t="n">
        <v>0</v>
      </c>
      <c r="O732" t="n">
        <v>0</v>
      </c>
      <c r="P732" t="n">
        <v>0</v>
      </c>
      <c r="Q732" t="n">
        <v>0</v>
      </c>
      <c r="R732" s="2" t="inlineStr"/>
    </row>
    <row r="733" ht="15" customHeight="1">
      <c r="A733" t="inlineStr">
        <is>
          <t>A 51923-2023</t>
        </is>
      </c>
      <c r="B733" s="1" t="n">
        <v>45223</v>
      </c>
      <c r="C733" s="1" t="n">
        <v>45888</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27875-2024</t>
        </is>
      </c>
      <c r="B734" s="1" t="n">
        <v>45475</v>
      </c>
      <c r="C734" s="1" t="n">
        <v>45888</v>
      </c>
      <c r="D734" t="inlineStr">
        <is>
          <t>SÖDERMANLANDS LÄN</t>
        </is>
      </c>
      <c r="E734" t="inlineStr">
        <is>
          <t>KATRINEHOLM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59887-2020</t>
        </is>
      </c>
      <c r="B735" s="1" t="n">
        <v>44151</v>
      </c>
      <c r="C735" s="1" t="n">
        <v>45888</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43088-2022</t>
        </is>
      </c>
      <c r="B736" s="1" t="n">
        <v>44833</v>
      </c>
      <c r="C736" s="1" t="n">
        <v>45888</v>
      </c>
      <c r="D736" t="inlineStr">
        <is>
          <t>SÖDERMANLANDS LÄN</t>
        </is>
      </c>
      <c r="E736" t="inlineStr">
        <is>
          <t>KATRINEHOLM</t>
        </is>
      </c>
      <c r="G736" t="n">
        <v>6.6</v>
      </c>
      <c r="H736" t="n">
        <v>0</v>
      </c>
      <c r="I736" t="n">
        <v>0</v>
      </c>
      <c r="J736" t="n">
        <v>0</v>
      </c>
      <c r="K736" t="n">
        <v>0</v>
      </c>
      <c r="L736" t="n">
        <v>0</v>
      </c>
      <c r="M736" t="n">
        <v>0</v>
      </c>
      <c r="N736" t="n">
        <v>0</v>
      </c>
      <c r="O736" t="n">
        <v>0</v>
      </c>
      <c r="P736" t="n">
        <v>0</v>
      </c>
      <c r="Q736" t="n">
        <v>0</v>
      </c>
      <c r="R736" s="2" t="inlineStr"/>
    </row>
    <row r="737" ht="15" customHeight="1">
      <c r="A737" t="inlineStr">
        <is>
          <t>A 52658-2023</t>
        </is>
      </c>
      <c r="B737" s="1" t="n">
        <v>45225</v>
      </c>
      <c r="C737" s="1" t="n">
        <v>45888</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61385-2023</t>
        </is>
      </c>
      <c r="B738" s="1" t="n">
        <v>45264.64241898148</v>
      </c>
      <c r="C738" s="1" t="n">
        <v>45888</v>
      </c>
      <c r="D738" t="inlineStr">
        <is>
          <t>SÖDERMANLANDS LÄN</t>
        </is>
      </c>
      <c r="E738" t="inlineStr">
        <is>
          <t>KATRINEHOLM</t>
        </is>
      </c>
      <c r="G738" t="n">
        <v>0.4</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45888</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10932-2023</t>
        </is>
      </c>
      <c r="B740" s="1" t="n">
        <v>44985</v>
      </c>
      <c r="C740" s="1" t="n">
        <v>45888</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36767-2022</t>
        </is>
      </c>
      <c r="B741" s="1" t="n">
        <v>44805</v>
      </c>
      <c r="C741" s="1" t="n">
        <v>45888</v>
      </c>
      <c r="D741" t="inlineStr">
        <is>
          <t>SÖDERMANLANDS LÄN</t>
        </is>
      </c>
      <c r="E741" t="inlineStr">
        <is>
          <t>KATRINEHOLM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5834-2025</t>
        </is>
      </c>
      <c r="B742" s="1" t="n">
        <v>45694</v>
      </c>
      <c r="C742" s="1" t="n">
        <v>45888</v>
      </c>
      <c r="D742" t="inlineStr">
        <is>
          <t>SÖDERMANLANDS LÄN</t>
        </is>
      </c>
      <c r="E742" t="inlineStr">
        <is>
          <t>KATRINEHOLM</t>
        </is>
      </c>
      <c r="G742" t="n">
        <v>3.3</v>
      </c>
      <c r="H742" t="n">
        <v>0</v>
      </c>
      <c r="I742" t="n">
        <v>0</v>
      </c>
      <c r="J742" t="n">
        <v>0</v>
      </c>
      <c r="K742" t="n">
        <v>0</v>
      </c>
      <c r="L742" t="n">
        <v>0</v>
      </c>
      <c r="M742" t="n">
        <v>0</v>
      </c>
      <c r="N742" t="n">
        <v>0</v>
      </c>
      <c r="O742" t="n">
        <v>0</v>
      </c>
      <c r="P742" t="n">
        <v>0</v>
      </c>
      <c r="Q742" t="n">
        <v>0</v>
      </c>
      <c r="R742" s="2" t="inlineStr"/>
    </row>
    <row r="743" ht="15" customHeight="1">
      <c r="A743" t="inlineStr">
        <is>
          <t>A 48619-2020</t>
        </is>
      </c>
      <c r="B743" s="1" t="n">
        <v>44103</v>
      </c>
      <c r="C743" s="1" t="n">
        <v>45888</v>
      </c>
      <c r="D743" t="inlineStr">
        <is>
          <t>SÖDERMANLANDS LÄN</t>
        </is>
      </c>
      <c r="E743" t="inlineStr">
        <is>
          <t>KATRINEHOLM</t>
        </is>
      </c>
      <c r="F743" t="inlineStr">
        <is>
          <t>Övriga statliga verk och myndigheter</t>
        </is>
      </c>
      <c r="G743" t="n">
        <v>0.9</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45888</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34263-2023</t>
        </is>
      </c>
      <c r="B745" s="1" t="n">
        <v>45138.60248842592</v>
      </c>
      <c r="C745" s="1" t="n">
        <v>45888</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6092-2025</t>
        </is>
      </c>
      <c r="B746" s="1" t="n">
        <v>45697</v>
      </c>
      <c r="C746" s="1" t="n">
        <v>45888</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55863-2022</t>
        </is>
      </c>
      <c r="B747" s="1" t="n">
        <v>44888</v>
      </c>
      <c r="C747" s="1" t="n">
        <v>45888</v>
      </c>
      <c r="D747" t="inlineStr">
        <is>
          <t>SÖDERMANLANDS LÄN</t>
        </is>
      </c>
      <c r="E747" t="inlineStr">
        <is>
          <t>KATRINEHOLM</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55865-2022</t>
        </is>
      </c>
      <c r="B748" s="1" t="n">
        <v>44888</v>
      </c>
      <c r="C748" s="1" t="n">
        <v>45888</v>
      </c>
      <c r="D748" t="inlineStr">
        <is>
          <t>SÖDERMANLANDS LÄN</t>
        </is>
      </c>
      <c r="E748" t="inlineStr">
        <is>
          <t>KATRINEHOLM</t>
        </is>
      </c>
      <c r="G748" t="n">
        <v>9.1</v>
      </c>
      <c r="H748" t="n">
        <v>0</v>
      </c>
      <c r="I748" t="n">
        <v>0</v>
      </c>
      <c r="J748" t="n">
        <v>0</v>
      </c>
      <c r="K748" t="n">
        <v>0</v>
      </c>
      <c r="L748" t="n">
        <v>0</v>
      </c>
      <c r="M748" t="n">
        <v>0</v>
      </c>
      <c r="N748" t="n">
        <v>0</v>
      </c>
      <c r="O748" t="n">
        <v>0</v>
      </c>
      <c r="P748" t="n">
        <v>0</v>
      </c>
      <c r="Q748" t="n">
        <v>0</v>
      </c>
      <c r="R748" s="2" t="inlineStr"/>
    </row>
    <row r="749" ht="15" customHeight="1">
      <c r="A749" t="inlineStr">
        <is>
          <t>A 10341-2022</t>
        </is>
      </c>
      <c r="B749" s="1" t="n">
        <v>44623</v>
      </c>
      <c r="C749" s="1" t="n">
        <v>45888</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9437-2022</t>
        </is>
      </c>
      <c r="B750" s="1" t="n">
        <v>44616.69246527777</v>
      </c>
      <c r="C750" s="1" t="n">
        <v>45888</v>
      </c>
      <c r="D750" t="inlineStr">
        <is>
          <t>SÖDERMANLANDS LÄN</t>
        </is>
      </c>
      <c r="E750" t="inlineStr">
        <is>
          <t>KATRINEHOLM</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22345-2023</t>
        </is>
      </c>
      <c r="B751" s="1" t="n">
        <v>45070</v>
      </c>
      <c r="C751" s="1" t="n">
        <v>45888</v>
      </c>
      <c r="D751" t="inlineStr">
        <is>
          <t>SÖDERMANLANDS LÄN</t>
        </is>
      </c>
      <c r="E751" t="inlineStr">
        <is>
          <t>KATRINEHOLM</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48528-2021</t>
        </is>
      </c>
      <c r="B752" s="1" t="n">
        <v>44449</v>
      </c>
      <c r="C752" s="1" t="n">
        <v>45888</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28675-2024</t>
        </is>
      </c>
      <c r="B753" s="1" t="n">
        <v>45478</v>
      </c>
      <c r="C753" s="1" t="n">
        <v>45888</v>
      </c>
      <c r="D753" t="inlineStr">
        <is>
          <t>SÖDERMANLANDS LÄN</t>
        </is>
      </c>
      <c r="E753" t="inlineStr">
        <is>
          <t>KATRINEHOLM</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33790-2024</t>
        </is>
      </c>
      <c r="B754" s="1" t="n">
        <v>45520.59179398148</v>
      </c>
      <c r="C754" s="1" t="n">
        <v>45888</v>
      </c>
      <c r="D754" t="inlineStr">
        <is>
          <t>SÖDERMANLANDS LÄN</t>
        </is>
      </c>
      <c r="E754" t="inlineStr">
        <is>
          <t>KATRINEHOLM</t>
        </is>
      </c>
      <c r="G754" t="n">
        <v>14</v>
      </c>
      <c r="H754" t="n">
        <v>0</v>
      </c>
      <c r="I754" t="n">
        <v>0</v>
      </c>
      <c r="J754" t="n">
        <v>0</v>
      </c>
      <c r="K754" t="n">
        <v>0</v>
      </c>
      <c r="L754" t="n">
        <v>0</v>
      </c>
      <c r="M754" t="n">
        <v>0</v>
      </c>
      <c r="N754" t="n">
        <v>0</v>
      </c>
      <c r="O754" t="n">
        <v>0</v>
      </c>
      <c r="P754" t="n">
        <v>0</v>
      </c>
      <c r="Q754" t="n">
        <v>0</v>
      </c>
      <c r="R754" s="2" t="inlineStr"/>
    </row>
    <row r="755" ht="15" customHeight="1">
      <c r="A755" t="inlineStr">
        <is>
          <t>A 41267-2023</t>
        </is>
      </c>
      <c r="B755" s="1" t="n">
        <v>45174</v>
      </c>
      <c r="C755" s="1" t="n">
        <v>45888</v>
      </c>
      <c r="D755" t="inlineStr">
        <is>
          <t>SÖDERMANLANDS LÄN</t>
        </is>
      </c>
      <c r="E755" t="inlineStr">
        <is>
          <t>KATRINEHOLM</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53809-2021</t>
        </is>
      </c>
      <c r="B756" s="1" t="n">
        <v>44467</v>
      </c>
      <c r="C756" s="1" t="n">
        <v>45888</v>
      </c>
      <c r="D756" t="inlineStr">
        <is>
          <t>SÖDERMANLANDS LÄN</t>
        </is>
      </c>
      <c r="E756" t="inlineStr">
        <is>
          <t>KATRINEHOLM</t>
        </is>
      </c>
      <c r="G756" t="n">
        <v>7</v>
      </c>
      <c r="H756" t="n">
        <v>0</v>
      </c>
      <c r="I756" t="n">
        <v>0</v>
      </c>
      <c r="J756" t="n">
        <v>0</v>
      </c>
      <c r="K756" t="n">
        <v>0</v>
      </c>
      <c r="L756" t="n">
        <v>0</v>
      </c>
      <c r="M756" t="n">
        <v>0</v>
      </c>
      <c r="N756" t="n">
        <v>0</v>
      </c>
      <c r="O756" t="n">
        <v>0</v>
      </c>
      <c r="P756" t="n">
        <v>0</v>
      </c>
      <c r="Q756" t="n">
        <v>0</v>
      </c>
      <c r="R756" s="2" t="inlineStr"/>
    </row>
    <row r="757" ht="15" customHeight="1">
      <c r="A757" t="inlineStr">
        <is>
          <t>A 4758-2025</t>
        </is>
      </c>
      <c r="B757" s="1" t="n">
        <v>45688</v>
      </c>
      <c r="C757" s="1" t="n">
        <v>45888</v>
      </c>
      <c r="D757" t="inlineStr">
        <is>
          <t>SÖDERMANLANDS LÄN</t>
        </is>
      </c>
      <c r="E757" t="inlineStr">
        <is>
          <t>KATRINEHOLM</t>
        </is>
      </c>
      <c r="G757" t="n">
        <v>2.3</v>
      </c>
      <c r="H757" t="n">
        <v>0</v>
      </c>
      <c r="I757" t="n">
        <v>0</v>
      </c>
      <c r="J757" t="n">
        <v>0</v>
      </c>
      <c r="K757" t="n">
        <v>0</v>
      </c>
      <c r="L757" t="n">
        <v>0</v>
      </c>
      <c r="M757" t="n">
        <v>0</v>
      </c>
      <c r="N757" t="n">
        <v>0</v>
      </c>
      <c r="O757" t="n">
        <v>0</v>
      </c>
      <c r="P757" t="n">
        <v>0</v>
      </c>
      <c r="Q757" t="n">
        <v>0</v>
      </c>
      <c r="R757" s="2" t="inlineStr"/>
    </row>
    <row r="758" ht="15" customHeight="1">
      <c r="A758" t="inlineStr">
        <is>
          <t>A 28317-2024</t>
        </is>
      </c>
      <c r="B758" s="1" t="n">
        <v>45477</v>
      </c>
      <c r="C758" s="1" t="n">
        <v>45888</v>
      </c>
      <c r="D758" t="inlineStr">
        <is>
          <t>SÖDERMANLANDS LÄN</t>
        </is>
      </c>
      <c r="E758" t="inlineStr">
        <is>
          <t>KATRINEHOLM</t>
        </is>
      </c>
      <c r="G758" t="n">
        <v>1.5</v>
      </c>
      <c r="H758" t="n">
        <v>0</v>
      </c>
      <c r="I758" t="n">
        <v>0</v>
      </c>
      <c r="J758" t="n">
        <v>0</v>
      </c>
      <c r="K758" t="n">
        <v>0</v>
      </c>
      <c r="L758" t="n">
        <v>0</v>
      </c>
      <c r="M758" t="n">
        <v>0</v>
      </c>
      <c r="N758" t="n">
        <v>0</v>
      </c>
      <c r="O758" t="n">
        <v>0</v>
      </c>
      <c r="P758" t="n">
        <v>0</v>
      </c>
      <c r="Q758" t="n">
        <v>0</v>
      </c>
      <c r="R758" s="2" t="inlineStr"/>
    </row>
    <row r="759" ht="15" customHeight="1">
      <c r="A759" t="inlineStr">
        <is>
          <t>A 62424-2020</t>
        </is>
      </c>
      <c r="B759" s="1" t="n">
        <v>44160</v>
      </c>
      <c r="C759" s="1" t="n">
        <v>45888</v>
      </c>
      <c r="D759" t="inlineStr">
        <is>
          <t>SÖDERMANLANDS LÄN</t>
        </is>
      </c>
      <c r="E759" t="inlineStr">
        <is>
          <t>KATRINEHOLM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52348-2021</t>
        </is>
      </c>
      <c r="B760" s="1" t="n">
        <v>44464.49756944444</v>
      </c>
      <c r="C760" s="1" t="n">
        <v>45888</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5795-2022</t>
        </is>
      </c>
      <c r="B761" s="1" t="n">
        <v>44596</v>
      </c>
      <c r="C761" s="1" t="n">
        <v>45888</v>
      </c>
      <c r="D761" t="inlineStr">
        <is>
          <t>SÖDERMANLANDS LÄN</t>
        </is>
      </c>
      <c r="E761" t="inlineStr">
        <is>
          <t>KATRINEHOLM</t>
        </is>
      </c>
      <c r="G761" t="n">
        <v>8.1</v>
      </c>
      <c r="H761" t="n">
        <v>0</v>
      </c>
      <c r="I761" t="n">
        <v>0</v>
      </c>
      <c r="J761" t="n">
        <v>0</v>
      </c>
      <c r="K761" t="n">
        <v>0</v>
      </c>
      <c r="L761" t="n">
        <v>0</v>
      </c>
      <c r="M761" t="n">
        <v>0</v>
      </c>
      <c r="N761" t="n">
        <v>0</v>
      </c>
      <c r="O761" t="n">
        <v>0</v>
      </c>
      <c r="P761" t="n">
        <v>0</v>
      </c>
      <c r="Q761" t="n">
        <v>0</v>
      </c>
      <c r="R761" s="2" t="inlineStr"/>
    </row>
    <row r="762" ht="15" customHeight="1">
      <c r="A762" t="inlineStr">
        <is>
          <t>A 55590-2023</t>
        </is>
      </c>
      <c r="B762" s="1" t="n">
        <v>45238</v>
      </c>
      <c r="C762" s="1" t="n">
        <v>45888</v>
      </c>
      <c r="D762" t="inlineStr">
        <is>
          <t>SÖDERMANLANDS LÄN</t>
        </is>
      </c>
      <c r="E762" t="inlineStr">
        <is>
          <t>KATRINEHOLM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46257-2021</t>
        </is>
      </c>
      <c r="B763" s="1" t="n">
        <v>44442</v>
      </c>
      <c r="C763" s="1" t="n">
        <v>45888</v>
      </c>
      <c r="D763" t="inlineStr">
        <is>
          <t>SÖDERMANLANDS LÄN</t>
        </is>
      </c>
      <c r="E763" t="inlineStr">
        <is>
          <t>KATRINEHOLM</t>
        </is>
      </c>
      <c r="G763" t="n">
        <v>2.3</v>
      </c>
      <c r="H763" t="n">
        <v>0</v>
      </c>
      <c r="I763" t="n">
        <v>0</v>
      </c>
      <c r="J763" t="n">
        <v>0</v>
      </c>
      <c r="K763" t="n">
        <v>0</v>
      </c>
      <c r="L763" t="n">
        <v>0</v>
      </c>
      <c r="M763" t="n">
        <v>0</v>
      </c>
      <c r="N763" t="n">
        <v>0</v>
      </c>
      <c r="O763" t="n">
        <v>0</v>
      </c>
      <c r="P763" t="n">
        <v>0</v>
      </c>
      <c r="Q763" t="n">
        <v>0</v>
      </c>
      <c r="R763" s="2" t="inlineStr"/>
    </row>
    <row r="764" ht="15" customHeight="1">
      <c r="A764" t="inlineStr">
        <is>
          <t>A 5320-2025</t>
        </is>
      </c>
      <c r="B764" s="1" t="n">
        <v>45692</v>
      </c>
      <c r="C764" s="1" t="n">
        <v>45888</v>
      </c>
      <c r="D764" t="inlineStr">
        <is>
          <t>SÖDERMANLANDS LÄN</t>
        </is>
      </c>
      <c r="E764" t="inlineStr">
        <is>
          <t>KATRINEHOLM</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49914-2023</t>
        </is>
      </c>
      <c r="B765" s="1" t="n">
        <v>45214</v>
      </c>
      <c r="C765" s="1" t="n">
        <v>45888</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44637-2023</t>
        </is>
      </c>
      <c r="B766" s="1" t="n">
        <v>45189</v>
      </c>
      <c r="C766" s="1" t="n">
        <v>45888</v>
      </c>
      <c r="D766" t="inlineStr">
        <is>
          <t>SÖDERMANLANDS LÄN</t>
        </is>
      </c>
      <c r="E766" t="inlineStr">
        <is>
          <t>KATRINEHOLM</t>
        </is>
      </c>
      <c r="G766" t="n">
        <v>5.1</v>
      </c>
      <c r="H766" t="n">
        <v>0</v>
      </c>
      <c r="I766" t="n">
        <v>0</v>
      </c>
      <c r="J766" t="n">
        <v>0</v>
      </c>
      <c r="K766" t="n">
        <v>0</v>
      </c>
      <c r="L766" t="n">
        <v>0</v>
      </c>
      <c r="M766" t="n">
        <v>0</v>
      </c>
      <c r="N766" t="n">
        <v>0</v>
      </c>
      <c r="O766" t="n">
        <v>0</v>
      </c>
      <c r="P766" t="n">
        <v>0</v>
      </c>
      <c r="Q766" t="n">
        <v>0</v>
      </c>
      <c r="R766" s="2" t="inlineStr"/>
    </row>
    <row r="767" ht="15" customHeight="1">
      <c r="A767" t="inlineStr">
        <is>
          <t>A 58522-2024</t>
        </is>
      </c>
      <c r="B767" s="1" t="n">
        <v>45635.43770833333</v>
      </c>
      <c r="C767" s="1" t="n">
        <v>45888</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57687-2020</t>
        </is>
      </c>
      <c r="B768" s="1" t="n">
        <v>44140</v>
      </c>
      <c r="C768" s="1" t="n">
        <v>45888</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20921-2023</t>
        </is>
      </c>
      <c r="B769" s="1" t="n">
        <v>45061</v>
      </c>
      <c r="C769" s="1" t="n">
        <v>45888</v>
      </c>
      <c r="D769" t="inlineStr">
        <is>
          <t>SÖDERMANLANDS LÄN</t>
        </is>
      </c>
      <c r="E769" t="inlineStr">
        <is>
          <t>KATRINEHOLM</t>
        </is>
      </c>
      <c r="G769" t="n">
        <v>8.9</v>
      </c>
      <c r="H769" t="n">
        <v>0</v>
      </c>
      <c r="I769" t="n">
        <v>0</v>
      </c>
      <c r="J769" t="n">
        <v>0</v>
      </c>
      <c r="K769" t="n">
        <v>0</v>
      </c>
      <c r="L769" t="n">
        <v>0</v>
      </c>
      <c r="M769" t="n">
        <v>0</v>
      </c>
      <c r="N769" t="n">
        <v>0</v>
      </c>
      <c r="O769" t="n">
        <v>0</v>
      </c>
      <c r="P769" t="n">
        <v>0</v>
      </c>
      <c r="Q769" t="n">
        <v>0</v>
      </c>
      <c r="R769" s="2" t="inlineStr"/>
    </row>
    <row r="770" ht="15" customHeight="1">
      <c r="A770" t="inlineStr">
        <is>
          <t>A 12929-2023</t>
        </is>
      </c>
      <c r="B770" s="1" t="n">
        <v>45001</v>
      </c>
      <c r="C770" s="1" t="n">
        <v>45888</v>
      </c>
      <c r="D770" t="inlineStr">
        <is>
          <t>SÖDERMANLANDS LÄN</t>
        </is>
      </c>
      <c r="E770" t="inlineStr">
        <is>
          <t>KATRINEHOLM</t>
        </is>
      </c>
      <c r="G770" t="n">
        <v>3.1</v>
      </c>
      <c r="H770" t="n">
        <v>0</v>
      </c>
      <c r="I770" t="n">
        <v>0</v>
      </c>
      <c r="J770" t="n">
        <v>0</v>
      </c>
      <c r="K770" t="n">
        <v>0</v>
      </c>
      <c r="L770" t="n">
        <v>0</v>
      </c>
      <c r="M770" t="n">
        <v>0</v>
      </c>
      <c r="N770" t="n">
        <v>0</v>
      </c>
      <c r="O770" t="n">
        <v>0</v>
      </c>
      <c r="P770" t="n">
        <v>0</v>
      </c>
      <c r="Q770" t="n">
        <v>0</v>
      </c>
      <c r="R770" s="2" t="inlineStr"/>
    </row>
    <row r="771" ht="15" customHeight="1">
      <c r="A771" t="inlineStr">
        <is>
          <t>A 12932-2023</t>
        </is>
      </c>
      <c r="B771" s="1" t="n">
        <v>45001</v>
      </c>
      <c r="C771" s="1" t="n">
        <v>45888</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55038-2020</t>
        </is>
      </c>
      <c r="B772" s="1" t="n">
        <v>44130</v>
      </c>
      <c r="C772" s="1" t="n">
        <v>45888</v>
      </c>
      <c r="D772" t="inlineStr">
        <is>
          <t>SÖDERMANLANDS LÄN</t>
        </is>
      </c>
      <c r="E772" t="inlineStr">
        <is>
          <t>KATRINEHOLM</t>
        </is>
      </c>
      <c r="G772" t="n">
        <v>3.2</v>
      </c>
      <c r="H772" t="n">
        <v>0</v>
      </c>
      <c r="I772" t="n">
        <v>0</v>
      </c>
      <c r="J772" t="n">
        <v>0</v>
      </c>
      <c r="K772" t="n">
        <v>0</v>
      </c>
      <c r="L772" t="n">
        <v>0</v>
      </c>
      <c r="M772" t="n">
        <v>0</v>
      </c>
      <c r="N772" t="n">
        <v>0</v>
      </c>
      <c r="O772" t="n">
        <v>0</v>
      </c>
      <c r="P772" t="n">
        <v>0</v>
      </c>
      <c r="Q772" t="n">
        <v>0</v>
      </c>
      <c r="R772" s="2" t="inlineStr"/>
    </row>
    <row r="773" ht="15" customHeight="1">
      <c r="A773" t="inlineStr">
        <is>
          <t>A 6446-2022</t>
        </is>
      </c>
      <c r="B773" s="1" t="n">
        <v>44600</v>
      </c>
      <c r="C773" s="1" t="n">
        <v>45888</v>
      </c>
      <c r="D773" t="inlineStr">
        <is>
          <t>SÖDERMANLANDS LÄN</t>
        </is>
      </c>
      <c r="E773" t="inlineStr">
        <is>
          <t>KATRINEHOLM</t>
        </is>
      </c>
      <c r="G773" t="n">
        <v>1.5</v>
      </c>
      <c r="H773" t="n">
        <v>0</v>
      </c>
      <c r="I773" t="n">
        <v>0</v>
      </c>
      <c r="J773" t="n">
        <v>0</v>
      </c>
      <c r="K773" t="n">
        <v>0</v>
      </c>
      <c r="L773" t="n">
        <v>0</v>
      </c>
      <c r="M773" t="n">
        <v>0</v>
      </c>
      <c r="N773" t="n">
        <v>0</v>
      </c>
      <c r="O773" t="n">
        <v>0</v>
      </c>
      <c r="P773" t="n">
        <v>0</v>
      </c>
      <c r="Q773" t="n">
        <v>0</v>
      </c>
      <c r="R773" s="2" t="inlineStr"/>
    </row>
    <row r="774" ht="15" customHeight="1">
      <c r="A774" t="inlineStr">
        <is>
          <t>A 4724-2023</t>
        </is>
      </c>
      <c r="B774" s="1" t="n">
        <v>44957</v>
      </c>
      <c r="C774" s="1" t="n">
        <v>45888</v>
      </c>
      <c r="D774" t="inlineStr">
        <is>
          <t>SÖDERMANLANDS LÄN</t>
        </is>
      </c>
      <c r="E774" t="inlineStr">
        <is>
          <t>KATRINEHOLM</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61431-2024</t>
        </is>
      </c>
      <c r="B775" s="1" t="n">
        <v>45646.45950231481</v>
      </c>
      <c r="C775" s="1" t="n">
        <v>45888</v>
      </c>
      <c r="D775" t="inlineStr">
        <is>
          <t>SÖDERMANLANDS LÄN</t>
        </is>
      </c>
      <c r="E775" t="inlineStr">
        <is>
          <t>KATRINEHOLM</t>
        </is>
      </c>
      <c r="G775" t="n">
        <v>0.8</v>
      </c>
      <c r="H775" t="n">
        <v>0</v>
      </c>
      <c r="I775" t="n">
        <v>0</v>
      </c>
      <c r="J775" t="n">
        <v>0</v>
      </c>
      <c r="K775" t="n">
        <v>0</v>
      </c>
      <c r="L775" t="n">
        <v>0</v>
      </c>
      <c r="M775" t="n">
        <v>0</v>
      </c>
      <c r="N775" t="n">
        <v>0</v>
      </c>
      <c r="O775" t="n">
        <v>0</v>
      </c>
      <c r="P775" t="n">
        <v>0</v>
      </c>
      <c r="Q775" t="n">
        <v>0</v>
      </c>
      <c r="R775" s="2" t="inlineStr"/>
    </row>
    <row r="776" ht="15" customHeight="1">
      <c r="A776" t="inlineStr">
        <is>
          <t>A 24097-2022</t>
        </is>
      </c>
      <c r="B776" s="1" t="n">
        <v>44725.39371527778</v>
      </c>
      <c r="C776" s="1" t="n">
        <v>45888</v>
      </c>
      <c r="D776" t="inlineStr">
        <is>
          <t>SÖDERMANLANDS LÄN</t>
        </is>
      </c>
      <c r="E776" t="inlineStr">
        <is>
          <t>KATRINEHOLM</t>
        </is>
      </c>
      <c r="G776" t="n">
        <v>6.5</v>
      </c>
      <c r="H776" t="n">
        <v>0</v>
      </c>
      <c r="I776" t="n">
        <v>0</v>
      </c>
      <c r="J776" t="n">
        <v>0</v>
      </c>
      <c r="K776" t="n">
        <v>0</v>
      </c>
      <c r="L776" t="n">
        <v>0</v>
      </c>
      <c r="M776" t="n">
        <v>0</v>
      </c>
      <c r="N776" t="n">
        <v>0</v>
      </c>
      <c r="O776" t="n">
        <v>0</v>
      </c>
      <c r="P776" t="n">
        <v>0</v>
      </c>
      <c r="Q776" t="n">
        <v>0</v>
      </c>
      <c r="R776" s="2" t="inlineStr"/>
    </row>
    <row r="777">
      <c r="A777" t="inlineStr">
        <is>
          <t>A 53393-2023</t>
        </is>
      </c>
      <c r="B777" s="1" t="n">
        <v>45229</v>
      </c>
      <c r="C777" s="1" t="n">
        <v>45888</v>
      </c>
      <c r="D777" t="inlineStr">
        <is>
          <t>SÖDERMANLANDS LÄN</t>
        </is>
      </c>
      <c r="E777" t="inlineStr">
        <is>
          <t>KATRINEHOLM</t>
        </is>
      </c>
      <c r="F777" t="inlineStr">
        <is>
          <t>Kyrkan</t>
        </is>
      </c>
      <c r="G777" t="n">
        <v>5.6</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2025-08-19T08:30:51Z</dcterms:created>
  <dcterms:modified xmlns:dcterms="http://purl.org/dc/terms/" xmlns:xsi="http://www.w3.org/2001/XMLSchema-instance" xsi:type="dcterms:W3CDTF">2025-08-19T08:30:52Z</dcterms:modified>
</cp:coreProperties>
</file>